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kang\Downloads\"/>
    </mc:Choice>
  </mc:AlternateContent>
  <bookViews>
    <workbookView xWindow="120" yWindow="120" windowWidth="19395" windowHeight="11430" tabRatio="607"/>
  </bookViews>
  <sheets>
    <sheet name="11월 특근&amp;휴일" sheetId="10" r:id="rId1"/>
    <sheet name="시급" sheetId="11" r:id="rId2"/>
  </sheets>
  <definedNames>
    <definedName name="_xlnm.Print_Area" localSheetId="0">'11월 특근&amp;휴일'!$C$1:$AM$49</definedName>
  </definedNames>
  <calcPr calcId="152511"/>
</workbook>
</file>

<file path=xl/calcChain.xml><?xml version="1.0" encoding="utf-8"?>
<calcChain xmlns="http://schemas.openxmlformats.org/spreadsheetml/2006/main">
  <c r="AK11" i="10" l="1"/>
  <c r="AK14" i="10"/>
  <c r="AK24" i="10"/>
  <c r="AK25" i="10"/>
  <c r="AK38" i="10"/>
  <c r="AK39" i="10"/>
  <c r="AK41" i="10"/>
  <c r="AK44" i="10"/>
  <c r="AK12" i="10"/>
  <c r="AK13" i="10"/>
  <c r="AK10" i="10"/>
  <c r="AK9" i="10"/>
  <c r="AL39" i="10" l="1"/>
  <c r="AK27" i="10"/>
  <c r="AL27" i="10" s="1"/>
  <c r="AL14" i="10"/>
  <c r="AK30" i="10"/>
  <c r="AL30" i="10" s="1"/>
  <c r="AL13" i="10"/>
  <c r="AK31" i="10"/>
  <c r="AL31" i="10" s="1"/>
  <c r="AK32" i="10"/>
  <c r="AL32" i="10" s="1"/>
  <c r="AK28" i="10"/>
  <c r="AL28" i="10" s="1"/>
  <c r="AK26" i="10"/>
  <c r="AL26" i="10" s="1"/>
  <c r="AK15" i="10"/>
  <c r="AL15" i="10" s="1"/>
  <c r="AK42" i="10"/>
  <c r="AL42" i="10" s="1"/>
  <c r="AL38" i="10"/>
  <c r="AK18" i="10"/>
  <c r="AL18" i="10" s="1"/>
  <c r="AK29" i="10"/>
  <c r="AL29" i="10" s="1"/>
  <c r="AL41" i="10" l="1"/>
  <c r="AK40" i="10"/>
  <c r="AK37" i="10"/>
  <c r="AL37" i="10" s="1"/>
  <c r="AK36" i="10"/>
  <c r="AK35" i="10"/>
  <c r="AK34" i="10"/>
  <c r="AK33" i="10"/>
  <c r="AK23" i="10"/>
  <c r="AK22" i="10"/>
  <c r="AK21" i="10"/>
  <c r="AL21" i="10" s="1"/>
  <c r="AK20" i="10"/>
  <c r="AK19" i="10"/>
  <c r="AK17" i="10"/>
  <c r="AL17" i="10" s="1"/>
  <c r="AK16" i="10"/>
  <c r="AL16" i="10" s="1"/>
  <c r="AL12" i="10"/>
  <c r="AL10" i="10"/>
  <c r="AK43" i="10" l="1"/>
  <c r="AL43" i="10" s="1"/>
  <c r="AL20" i="10"/>
  <c r="AL25" i="10" l="1"/>
  <c r="AK45" i="10" l="1"/>
  <c r="AL33" i="10" l="1"/>
  <c r="AL9" i="10" l="1"/>
  <c r="AL22" i="10" l="1"/>
  <c r="AL44" i="10"/>
  <c r="AL36" i="10"/>
  <c r="AL19" i="10" l="1"/>
  <c r="AL40" i="10" l="1"/>
  <c r="AL11" i="10" l="1"/>
  <c r="AL35" i="10" l="1"/>
  <c r="AL34" i="10"/>
  <c r="AL24" i="10"/>
  <c r="AL23" i="10"/>
  <c r="AL45" i="10" l="1"/>
</calcChain>
</file>

<file path=xl/sharedStrings.xml><?xml version="1.0" encoding="utf-8"?>
<sst xmlns="http://schemas.openxmlformats.org/spreadsheetml/2006/main" count="333" uniqueCount="135">
  <si>
    <t>성명</t>
  </si>
  <si>
    <t>수당액</t>
  </si>
  <si>
    <t>비고</t>
  </si>
  <si>
    <t>합계</t>
  </si>
  <si>
    <t>이충일</t>
    <phoneticPr fontId="2" type="noConversion"/>
  </si>
  <si>
    <t>이일희</t>
    <phoneticPr fontId="2" type="noConversion"/>
  </si>
  <si>
    <t>부서</t>
    <phoneticPr fontId="2" type="noConversion"/>
  </si>
  <si>
    <t>팀명</t>
    <phoneticPr fontId="2" type="noConversion"/>
  </si>
  <si>
    <t>통신연구1실</t>
    <phoneticPr fontId="2" type="noConversion"/>
  </si>
  <si>
    <t>시스템지원실</t>
    <phoneticPr fontId="2" type="noConversion"/>
  </si>
  <si>
    <t>김대현</t>
    <phoneticPr fontId="2" type="noConversion"/>
  </si>
  <si>
    <t>김지훈</t>
    <phoneticPr fontId="2" type="noConversion"/>
  </si>
  <si>
    <t>◎</t>
    <phoneticPr fontId="2" type="noConversion"/>
  </si>
  <si>
    <t>인프라연구실</t>
    <phoneticPr fontId="2" type="noConversion"/>
  </si>
  <si>
    <t>연구1팀</t>
    <phoneticPr fontId="2" type="noConversion"/>
  </si>
  <si>
    <t>시스템지원실</t>
    <phoneticPr fontId="2" type="noConversion"/>
  </si>
  <si>
    <t>경영지원실</t>
    <phoneticPr fontId="2" type="noConversion"/>
  </si>
  <si>
    <t>재경팀</t>
    <phoneticPr fontId="2" type="noConversion"/>
  </si>
  <si>
    <t>사업지원실</t>
    <phoneticPr fontId="2" type="noConversion"/>
  </si>
  <si>
    <t>장준성</t>
    <phoneticPr fontId="2" type="noConversion"/>
  </si>
  <si>
    <t>합계</t>
    <phoneticPr fontId="2" type="noConversion"/>
  </si>
  <si>
    <t>◎</t>
  </si>
  <si>
    <t>이상우</t>
    <phoneticPr fontId="2" type="noConversion"/>
  </si>
  <si>
    <t>★</t>
    <phoneticPr fontId="23" type="noConversion"/>
  </si>
  <si>
    <t>박정현</t>
    <phoneticPr fontId="2" type="noConversion"/>
  </si>
  <si>
    <t>박민철</t>
    <phoneticPr fontId="2" type="noConversion"/>
  </si>
  <si>
    <t>김석규</t>
    <phoneticPr fontId="2" type="noConversion"/>
  </si>
  <si>
    <t>김선구</t>
    <phoneticPr fontId="2" type="noConversion"/>
  </si>
  <si>
    <t>주준환</t>
    <phoneticPr fontId="2" type="noConversion"/>
  </si>
  <si>
    <t>최귀선</t>
    <phoneticPr fontId="2" type="noConversion"/>
  </si>
  <si>
    <t>박종찬</t>
    <phoneticPr fontId="2" type="noConversion"/>
  </si>
  <si>
    <t>강태연</t>
    <phoneticPr fontId="2" type="noConversion"/>
  </si>
  <si>
    <t>김경태</t>
    <phoneticPr fontId="2" type="noConversion"/>
  </si>
  <si>
    <t>김수호</t>
    <phoneticPr fontId="2" type="noConversion"/>
  </si>
  <si>
    <t>김민제</t>
    <phoneticPr fontId="2" type="noConversion"/>
  </si>
  <si>
    <t>백인수</t>
    <phoneticPr fontId="2" type="noConversion"/>
  </si>
  <si>
    <t>서범석</t>
    <phoneticPr fontId="2" type="noConversion"/>
  </si>
  <si>
    <t>서아람</t>
    <phoneticPr fontId="2" type="noConversion"/>
  </si>
  <si>
    <t>김영득</t>
    <phoneticPr fontId="2" type="noConversion"/>
  </si>
  <si>
    <t>장하림</t>
    <phoneticPr fontId="2" type="noConversion"/>
  </si>
  <si>
    <t>오재영</t>
    <phoneticPr fontId="2" type="noConversion"/>
  </si>
  <si>
    <t>이루온 11월 특근&amp;휴일 근무 집계</t>
    <phoneticPr fontId="2" type="noConversion"/>
  </si>
  <si>
    <t>10월</t>
    <phoneticPr fontId="23" type="noConversion"/>
  </si>
  <si>
    <t>11월</t>
    <phoneticPr fontId="23" type="noConversion"/>
  </si>
  <si>
    <t>유영재</t>
    <phoneticPr fontId="2" type="noConversion"/>
  </si>
  <si>
    <t>신호중</t>
    <phoneticPr fontId="2" type="noConversion"/>
  </si>
  <si>
    <t>조은일</t>
    <phoneticPr fontId="2" type="noConversion"/>
  </si>
  <si>
    <t>전준영</t>
    <phoneticPr fontId="2" type="noConversion"/>
  </si>
  <si>
    <t>정미라</t>
    <phoneticPr fontId="2" type="noConversion"/>
  </si>
  <si>
    <t>민선홍</t>
    <phoneticPr fontId="2" type="noConversion"/>
  </si>
  <si>
    <t>박형준</t>
    <phoneticPr fontId="2" type="noConversion"/>
  </si>
  <si>
    <t>안재민</t>
    <phoneticPr fontId="2" type="noConversion"/>
  </si>
  <si>
    <t>연규준</t>
    <phoneticPr fontId="2" type="noConversion"/>
  </si>
  <si>
    <t>김홍일</t>
    <phoneticPr fontId="2" type="noConversion"/>
  </si>
  <si>
    <t>유범준</t>
    <phoneticPr fontId="2" type="noConversion"/>
  </si>
  <si>
    <t>김창남</t>
    <phoneticPr fontId="2" type="noConversion"/>
  </si>
  <si>
    <t>조재현</t>
    <phoneticPr fontId="2" type="noConversion"/>
  </si>
  <si>
    <t>성  명</t>
    <phoneticPr fontId="30" type="noConversion"/>
  </si>
  <si>
    <t>강대엽</t>
    <phoneticPr fontId="30" type="noConversion"/>
  </si>
  <si>
    <t>강상훈</t>
  </si>
  <si>
    <t>강태연</t>
  </si>
  <si>
    <t>구본관</t>
    <phoneticPr fontId="30" type="noConversion"/>
  </si>
  <si>
    <t>김경미</t>
  </si>
  <si>
    <t>김경태</t>
    <phoneticPr fontId="30" type="noConversion"/>
  </si>
  <si>
    <t>김근태</t>
    <phoneticPr fontId="30" type="noConversion"/>
  </si>
  <si>
    <t>김대현</t>
    <phoneticPr fontId="30" type="noConversion"/>
  </si>
  <si>
    <t>김도형</t>
    <phoneticPr fontId="30" type="noConversion"/>
  </si>
  <si>
    <t>김민제</t>
    <phoneticPr fontId="30" type="noConversion"/>
  </si>
  <si>
    <t>김석규</t>
    <phoneticPr fontId="30" type="noConversion"/>
  </si>
  <si>
    <t>김선교</t>
    <phoneticPr fontId="30" type="noConversion"/>
  </si>
  <si>
    <t>김선구</t>
  </si>
  <si>
    <t>김수민</t>
  </si>
  <si>
    <t>김수현</t>
    <phoneticPr fontId="30" type="noConversion"/>
  </si>
  <si>
    <t>김수호</t>
    <phoneticPr fontId="30" type="noConversion"/>
  </si>
  <si>
    <t>김영득</t>
    <phoneticPr fontId="30" type="noConversion"/>
  </si>
  <si>
    <t>김지훈</t>
    <phoneticPr fontId="30" type="noConversion"/>
  </si>
  <si>
    <t>김진</t>
    <phoneticPr fontId="30" type="noConversion"/>
  </si>
  <si>
    <t>김창남</t>
    <phoneticPr fontId="30" type="noConversion"/>
  </si>
  <si>
    <t>김철언</t>
  </si>
  <si>
    <t>김태홍</t>
  </si>
  <si>
    <t>김현기</t>
    <phoneticPr fontId="30" type="noConversion"/>
  </si>
  <si>
    <t>김홍일</t>
    <phoneticPr fontId="30" type="noConversion"/>
  </si>
  <si>
    <t>김희철</t>
    <phoneticPr fontId="30" type="noConversion"/>
  </si>
  <si>
    <t>나성준</t>
    <phoneticPr fontId="30" type="noConversion"/>
  </si>
  <si>
    <t>류승민</t>
    <phoneticPr fontId="30" type="noConversion"/>
  </si>
  <si>
    <t>민선홍</t>
    <phoneticPr fontId="30" type="noConversion"/>
  </si>
  <si>
    <t>박민철</t>
    <phoneticPr fontId="30" type="noConversion"/>
  </si>
  <si>
    <t>박예진</t>
  </si>
  <si>
    <t>박응서</t>
    <phoneticPr fontId="30" type="noConversion"/>
  </si>
  <si>
    <t>박정현</t>
    <phoneticPr fontId="30" type="noConversion"/>
  </si>
  <si>
    <t>박종찬</t>
  </si>
  <si>
    <t>박지강</t>
  </si>
  <si>
    <t>박찬호</t>
    <phoneticPr fontId="30" type="noConversion"/>
  </si>
  <si>
    <t>박형준</t>
    <phoneticPr fontId="30" type="noConversion"/>
  </si>
  <si>
    <t>백경선</t>
    <phoneticPr fontId="30" type="noConversion"/>
  </si>
  <si>
    <t>백인수</t>
  </si>
  <si>
    <t>서범석</t>
  </si>
  <si>
    <t>서아람</t>
    <phoneticPr fontId="30" type="noConversion"/>
  </si>
  <si>
    <t>설명기</t>
    <phoneticPr fontId="30" type="noConversion"/>
  </si>
  <si>
    <t>신호중</t>
    <phoneticPr fontId="30" type="noConversion"/>
  </si>
  <si>
    <t>안은샘</t>
    <phoneticPr fontId="30" type="noConversion"/>
  </si>
  <si>
    <t>안재민</t>
  </si>
  <si>
    <t>연규준</t>
    <phoneticPr fontId="30" type="noConversion"/>
  </si>
  <si>
    <t>오재영</t>
    <phoneticPr fontId="30" type="noConversion"/>
  </si>
  <si>
    <t>유범준</t>
    <phoneticPr fontId="30" type="noConversion"/>
  </si>
  <si>
    <t>유영재</t>
    <phoneticPr fontId="30" type="noConversion"/>
  </si>
  <si>
    <t>유오상</t>
    <phoneticPr fontId="30" type="noConversion"/>
  </si>
  <si>
    <t>이금기</t>
    <phoneticPr fontId="30" type="noConversion"/>
  </si>
  <si>
    <t>이상우</t>
    <phoneticPr fontId="30" type="noConversion"/>
  </si>
  <si>
    <t>이심현</t>
    <phoneticPr fontId="30" type="noConversion"/>
  </si>
  <si>
    <t>이원경</t>
    <phoneticPr fontId="30" type="noConversion"/>
  </si>
  <si>
    <t>이일희</t>
    <phoneticPr fontId="30" type="noConversion"/>
  </si>
  <si>
    <t>이준희</t>
  </si>
  <si>
    <t>이충일</t>
    <phoneticPr fontId="30" type="noConversion"/>
  </si>
  <si>
    <t>이하림</t>
    <phoneticPr fontId="30" type="noConversion"/>
  </si>
  <si>
    <t>이호진</t>
    <phoneticPr fontId="30" type="noConversion"/>
  </si>
  <si>
    <t>장준성</t>
    <phoneticPr fontId="30" type="noConversion"/>
  </si>
  <si>
    <t>장하림</t>
    <phoneticPr fontId="30" type="noConversion"/>
  </si>
  <si>
    <t>전정아</t>
  </si>
  <si>
    <t>전준영</t>
    <phoneticPr fontId="30" type="noConversion"/>
  </si>
  <si>
    <t>정미라</t>
    <phoneticPr fontId="30" type="noConversion"/>
  </si>
  <si>
    <t>정병기</t>
    <phoneticPr fontId="30" type="noConversion"/>
  </si>
  <si>
    <t>정종화</t>
  </si>
  <si>
    <t>정해주</t>
    <phoneticPr fontId="30" type="noConversion"/>
  </si>
  <si>
    <t>정호영</t>
  </si>
  <si>
    <t>조은일</t>
    <phoneticPr fontId="30" type="noConversion"/>
  </si>
  <si>
    <t>조재현</t>
    <phoneticPr fontId="30" type="noConversion"/>
  </si>
  <si>
    <t>조향래</t>
    <phoneticPr fontId="30" type="noConversion"/>
  </si>
  <si>
    <t>주준환</t>
  </si>
  <si>
    <t>채동원</t>
    <phoneticPr fontId="30" type="noConversion"/>
  </si>
  <si>
    <t>최귀선</t>
    <phoneticPr fontId="30" type="noConversion"/>
  </si>
  <si>
    <t>최용현</t>
    <phoneticPr fontId="30" type="noConversion"/>
  </si>
  <si>
    <t>최태원</t>
  </si>
  <si>
    <t>황다빈</t>
    <phoneticPr fontId="30" type="noConversion"/>
  </si>
  <si>
    <t>시급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</si>
</sst>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8" formatCode="_-* #,##0.000_-;\-* #,##0.000_-;_-* &quot;-&quot;??_-;_-@_-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9"/>
      <color indexed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36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</fills>
  <borders count="5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12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12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/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hair">
        <color indexed="64"/>
      </bottom>
      <diagonal/>
    </border>
    <border>
      <left/>
      <right style="medium">
        <color indexed="64"/>
      </right>
      <top style="double">
        <color indexed="8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9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15" applyNumberFormat="0" applyAlignment="0" applyProtection="0">
      <alignment vertical="center"/>
    </xf>
    <xf numFmtId="0" fontId="7" fillId="26" borderId="15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16" applyNumberFormat="0" applyFont="0" applyAlignment="0" applyProtection="0">
      <alignment vertical="center"/>
    </xf>
    <xf numFmtId="0" fontId="4" fillId="28" borderId="16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0" borderId="17" applyNumberFormat="0" applyAlignment="0" applyProtection="0">
      <alignment vertical="center"/>
    </xf>
    <xf numFmtId="0" fontId="11" fillId="30" borderId="1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31" borderId="15" applyNumberFormat="0" applyAlignment="0" applyProtection="0">
      <alignment vertical="center"/>
    </xf>
    <xf numFmtId="0" fontId="14" fillId="31" borderId="15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26" borderId="23" applyNumberFormat="0" applyAlignment="0" applyProtection="0">
      <alignment vertical="center"/>
    </xf>
    <xf numFmtId="0" fontId="20" fillId="26" borderId="2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4">
    <xf numFmtId="0" fontId="0" fillId="0" borderId="0" xfId="0">
      <alignment vertical="center"/>
    </xf>
    <xf numFmtId="0" fontId="21" fillId="0" borderId="0" xfId="86" applyFont="1" applyFill="1">
      <alignment vertical="center"/>
    </xf>
    <xf numFmtId="0" fontId="21" fillId="34" borderId="0" xfId="86" applyFont="1" applyFill="1">
      <alignment vertical="center"/>
    </xf>
    <xf numFmtId="0" fontId="24" fillId="35" borderId="28" xfId="86" applyFont="1" applyFill="1" applyBorder="1" applyAlignment="1">
      <alignment horizontal="center" vertical="center"/>
    </xf>
    <xf numFmtId="0" fontId="26" fillId="33" borderId="27" xfId="90" applyFont="1" applyFill="1" applyBorder="1" applyAlignment="1">
      <alignment horizontal="center" vertical="center" wrapText="1"/>
    </xf>
    <xf numFmtId="0" fontId="26" fillId="33" borderId="24" xfId="90" applyFont="1" applyFill="1" applyBorder="1" applyAlignment="1">
      <alignment horizontal="center" vertical="center" wrapText="1"/>
    </xf>
    <xf numFmtId="0" fontId="25" fillId="33" borderId="4" xfId="90" applyFont="1" applyFill="1" applyBorder="1" applyAlignment="1">
      <alignment horizontal="center" vertical="center" wrapText="1"/>
    </xf>
    <xf numFmtId="0" fontId="26" fillId="33" borderId="31" xfId="90" applyFont="1" applyFill="1" applyBorder="1" applyAlignment="1">
      <alignment horizontal="center" vertical="center"/>
    </xf>
    <xf numFmtId="0" fontId="26" fillId="33" borderId="3" xfId="90" applyFont="1" applyFill="1" applyBorder="1" applyAlignment="1">
      <alignment horizontal="right" vertical="center" wrapText="1"/>
    </xf>
    <xf numFmtId="41" fontId="26" fillId="33" borderId="3" xfId="65" applyFont="1" applyFill="1" applyBorder="1" applyAlignment="1">
      <alignment horizontal="right" vertical="center"/>
    </xf>
    <xf numFmtId="0" fontId="25" fillId="33" borderId="2" xfId="86" applyFont="1" applyFill="1" applyBorder="1">
      <alignment vertical="center"/>
    </xf>
    <xf numFmtId="0" fontId="25" fillId="33" borderId="2" xfId="90" applyFont="1" applyFill="1" applyBorder="1" applyAlignment="1">
      <alignment horizontal="center" vertical="center" wrapText="1"/>
    </xf>
    <xf numFmtId="0" fontId="26" fillId="33" borderId="31" xfId="90" applyFont="1" applyFill="1" applyBorder="1" applyAlignment="1">
      <alignment horizontal="center" vertical="center" wrapText="1"/>
    </xf>
    <xf numFmtId="0" fontId="26" fillId="33" borderId="32" xfId="90" applyFont="1" applyFill="1" applyBorder="1" applyAlignment="1">
      <alignment horizontal="center" vertical="center" wrapText="1"/>
    </xf>
    <xf numFmtId="0" fontId="26" fillId="33" borderId="30" xfId="90" applyFont="1" applyFill="1" applyBorder="1" applyAlignment="1">
      <alignment horizontal="right" vertical="center" wrapText="1"/>
    </xf>
    <xf numFmtId="0" fontId="25" fillId="33" borderId="5" xfId="86" applyFont="1" applyFill="1" applyBorder="1" applyAlignment="1">
      <alignment vertical="center"/>
    </xf>
    <xf numFmtId="41" fontId="25" fillId="33" borderId="5" xfId="86" applyNumberFormat="1" applyFont="1" applyFill="1" applyBorder="1" applyAlignment="1">
      <alignment vertical="center"/>
    </xf>
    <xf numFmtId="0" fontId="25" fillId="33" borderId="6" xfId="86" applyFont="1" applyFill="1" applyBorder="1">
      <alignment vertical="center"/>
    </xf>
    <xf numFmtId="0" fontId="27" fillId="33" borderId="1" xfId="86" applyFont="1" applyFill="1" applyBorder="1" applyAlignment="1">
      <alignment horizontal="center" vertical="center"/>
    </xf>
    <xf numFmtId="0" fontId="27" fillId="0" borderId="0" xfId="86" applyFont="1" applyFill="1" applyAlignment="1">
      <alignment horizontal="center" vertical="center"/>
    </xf>
    <xf numFmtId="0" fontId="28" fillId="33" borderId="1" xfId="90" applyFont="1" applyFill="1" applyBorder="1" applyAlignment="1">
      <alignment horizontal="center" vertical="center" wrapText="1"/>
    </xf>
    <xf numFmtId="0" fontId="26" fillId="36" borderId="24" xfId="90" applyFont="1" applyFill="1" applyBorder="1" applyAlignment="1">
      <alignment horizontal="center" vertical="center" wrapText="1"/>
    </xf>
    <xf numFmtId="0" fontId="27" fillId="36" borderId="1" xfId="86" applyFont="1" applyFill="1" applyBorder="1" applyAlignment="1">
      <alignment horizontal="center" vertical="center"/>
    </xf>
    <xf numFmtId="0" fontId="27" fillId="36" borderId="0" xfId="86" applyFont="1" applyFill="1" applyAlignment="1">
      <alignment horizontal="center" vertical="center"/>
    </xf>
    <xf numFmtId="0" fontId="28" fillId="36" borderId="1" xfId="90" applyFont="1" applyFill="1" applyBorder="1" applyAlignment="1">
      <alignment horizontal="center" vertical="center" wrapText="1"/>
    </xf>
    <xf numFmtId="0" fontId="27" fillId="33" borderId="35" xfId="86" applyFont="1" applyFill="1" applyBorder="1" applyAlignment="1">
      <alignment horizontal="center" vertical="center"/>
    </xf>
    <xf numFmtId="0" fontId="27" fillId="36" borderId="35" xfId="86" applyFont="1" applyFill="1" applyBorder="1" applyAlignment="1">
      <alignment horizontal="center" vertical="center"/>
    </xf>
    <xf numFmtId="0" fontId="21" fillId="33" borderId="1" xfId="86" applyFont="1" applyFill="1" applyBorder="1" applyAlignment="1">
      <alignment horizontal="center" vertical="center"/>
    </xf>
    <xf numFmtId="0" fontId="27" fillId="33" borderId="38" xfId="86" applyFont="1" applyFill="1" applyBorder="1" applyAlignment="1">
      <alignment horizontal="center" vertical="center"/>
    </xf>
    <xf numFmtId="0" fontId="28" fillId="33" borderId="38" xfId="90" applyFont="1" applyFill="1" applyBorder="1" applyAlignment="1">
      <alignment horizontal="center" vertical="center" wrapText="1"/>
    </xf>
    <xf numFmtId="0" fontId="27" fillId="36" borderId="38" xfId="86" applyFont="1" applyFill="1" applyBorder="1" applyAlignment="1">
      <alignment horizontal="center" vertical="center"/>
    </xf>
    <xf numFmtId="0" fontId="28" fillId="36" borderId="38" xfId="90" applyFont="1" applyFill="1" applyBorder="1" applyAlignment="1">
      <alignment horizontal="center" vertical="center" wrapText="1"/>
    </xf>
    <xf numFmtId="0" fontId="27" fillId="33" borderId="0" xfId="86" applyFont="1" applyFill="1" applyAlignment="1">
      <alignment horizontal="center" vertical="center"/>
    </xf>
    <xf numFmtId="0" fontId="26" fillId="36" borderId="27" xfId="90" applyFont="1" applyFill="1" applyBorder="1" applyAlignment="1">
      <alignment horizontal="center" vertical="center" wrapText="1"/>
    </xf>
    <xf numFmtId="0" fontId="25" fillId="36" borderId="24" xfId="90" applyFont="1" applyFill="1" applyBorder="1" applyAlignment="1">
      <alignment horizontal="center" vertical="center" wrapText="1"/>
    </xf>
    <xf numFmtId="0" fontId="27" fillId="36" borderId="34" xfId="86" applyFont="1" applyFill="1" applyBorder="1" applyAlignment="1">
      <alignment horizontal="center" vertical="center"/>
    </xf>
    <xf numFmtId="0" fontId="27" fillId="36" borderId="29" xfId="86" applyFont="1" applyFill="1" applyBorder="1" applyAlignment="1">
      <alignment horizontal="center" vertical="center"/>
    </xf>
    <xf numFmtId="0" fontId="28" fillId="36" borderId="29" xfId="90" applyFont="1" applyFill="1" applyBorder="1" applyAlignment="1">
      <alignment horizontal="center" vertical="center" wrapText="1"/>
    </xf>
    <xf numFmtId="0" fontId="28" fillId="36" borderId="37" xfId="90" applyFont="1" applyFill="1" applyBorder="1" applyAlignment="1">
      <alignment horizontal="center" vertical="center" wrapText="1"/>
    </xf>
    <xf numFmtId="0" fontId="27" fillId="36" borderId="36" xfId="86" applyFont="1" applyFill="1" applyBorder="1" applyAlignment="1">
      <alignment horizontal="center" vertical="center"/>
    </xf>
    <xf numFmtId="0" fontId="27" fillId="36" borderId="33" xfId="86" applyFont="1" applyFill="1" applyBorder="1" applyAlignment="1">
      <alignment horizontal="center" vertical="center"/>
    </xf>
    <xf numFmtId="0" fontId="27" fillId="36" borderId="39" xfId="86" applyFont="1" applyFill="1" applyBorder="1" applyAlignment="1">
      <alignment horizontal="center" vertical="center"/>
    </xf>
    <xf numFmtId="0" fontId="27" fillId="36" borderId="37" xfId="86" applyFont="1" applyFill="1" applyBorder="1" applyAlignment="1">
      <alignment horizontal="center" vertical="center"/>
    </xf>
    <xf numFmtId="0" fontId="27" fillId="33" borderId="44" xfId="86" applyFont="1" applyFill="1" applyBorder="1" applyAlignment="1">
      <alignment horizontal="center" vertical="center"/>
    </xf>
    <xf numFmtId="0" fontId="27" fillId="33" borderId="45" xfId="86" applyFont="1" applyFill="1" applyBorder="1" applyAlignment="1">
      <alignment horizontal="center" vertical="center"/>
    </xf>
    <xf numFmtId="0" fontId="27" fillId="0" borderId="40" xfId="86" applyFont="1" applyFill="1" applyBorder="1" applyAlignment="1">
      <alignment horizontal="center" vertical="center"/>
    </xf>
    <xf numFmtId="0" fontId="28" fillId="33" borderId="45" xfId="90" applyFont="1" applyFill="1" applyBorder="1" applyAlignment="1">
      <alignment horizontal="center" vertical="center" wrapText="1"/>
    </xf>
    <xf numFmtId="0" fontId="28" fillId="33" borderId="46" xfId="90" applyFont="1" applyFill="1" applyBorder="1" applyAlignment="1">
      <alignment horizontal="center" vertical="center" wrapText="1"/>
    </xf>
    <xf numFmtId="0" fontId="27" fillId="36" borderId="47" xfId="86" applyFont="1" applyFill="1" applyBorder="1" applyAlignment="1">
      <alignment horizontal="center" vertical="center"/>
    </xf>
    <xf numFmtId="0" fontId="27" fillId="33" borderId="48" xfId="86" applyFont="1" applyFill="1" applyBorder="1" applyAlignment="1">
      <alignment horizontal="center" vertical="center"/>
    </xf>
    <xf numFmtId="0" fontId="27" fillId="36" borderId="45" xfId="86" applyFont="1" applyFill="1" applyBorder="1" applyAlignment="1">
      <alignment horizontal="center" vertical="center"/>
    </xf>
    <xf numFmtId="0" fontId="25" fillId="36" borderId="43" xfId="90" applyFont="1" applyFill="1" applyBorder="1" applyAlignment="1">
      <alignment horizontal="center" vertical="center" wrapText="1"/>
    </xf>
    <xf numFmtId="0" fontId="27" fillId="36" borderId="48" xfId="86" applyFont="1" applyFill="1" applyBorder="1" applyAlignment="1">
      <alignment horizontal="center" vertical="center"/>
    </xf>
    <xf numFmtId="0" fontId="28" fillId="36" borderId="45" xfId="90" applyFont="1" applyFill="1" applyBorder="1" applyAlignment="1">
      <alignment horizontal="center" vertical="center" wrapText="1"/>
    </xf>
    <xf numFmtId="0" fontId="28" fillId="36" borderId="46" xfId="90" applyFont="1" applyFill="1" applyBorder="1" applyAlignment="1">
      <alignment horizontal="center" vertical="center" wrapText="1"/>
    </xf>
    <xf numFmtId="0" fontId="25" fillId="33" borderId="49" xfId="90" applyFont="1" applyFill="1" applyBorder="1" applyAlignment="1">
      <alignment horizontal="center" vertical="center" wrapText="1"/>
    </xf>
    <xf numFmtId="0" fontId="26" fillId="33" borderId="11" xfId="86" applyFont="1" applyFill="1" applyBorder="1" applyAlignment="1">
      <alignment horizontal="center" vertical="center"/>
    </xf>
    <xf numFmtId="0" fontId="26" fillId="33" borderId="41" xfId="86" applyFont="1" applyFill="1" applyBorder="1" applyAlignment="1">
      <alignment horizontal="center" vertical="center"/>
    </xf>
    <xf numFmtId="0" fontId="26" fillId="33" borderId="12" xfId="86" applyFont="1" applyFill="1" applyBorder="1" applyAlignment="1">
      <alignment horizontal="center" vertical="center"/>
    </xf>
    <xf numFmtId="41" fontId="22" fillId="0" borderId="0" xfId="65" applyFont="1" applyFill="1" applyBorder="1" applyAlignment="1">
      <alignment horizontal="left" vertical="top"/>
    </xf>
    <xf numFmtId="0" fontId="21" fillId="0" borderId="0" xfId="86" applyFont="1" applyFill="1" applyAlignment="1">
      <alignment horizontal="center" vertical="center"/>
    </xf>
    <xf numFmtId="0" fontId="21" fillId="0" borderId="7" xfId="86" applyFont="1" applyFill="1" applyBorder="1" applyAlignment="1">
      <alignment horizontal="center" vertical="center"/>
    </xf>
    <xf numFmtId="0" fontId="25" fillId="33" borderId="13" xfId="90" applyFont="1" applyFill="1" applyBorder="1" applyAlignment="1">
      <alignment horizontal="center" vertical="center" wrapText="1"/>
    </xf>
    <xf numFmtId="0" fontId="25" fillId="33" borderId="14" xfId="90" applyFont="1" applyFill="1" applyBorder="1" applyAlignment="1">
      <alignment horizontal="center" vertical="center" wrapText="1"/>
    </xf>
    <xf numFmtId="41" fontId="25" fillId="33" borderId="8" xfId="65" applyFont="1" applyFill="1" applyBorder="1" applyAlignment="1">
      <alignment horizontal="center" vertical="center" wrapText="1"/>
    </xf>
    <xf numFmtId="41" fontId="25" fillId="33" borderId="4" xfId="65" applyFont="1" applyFill="1" applyBorder="1" applyAlignment="1">
      <alignment horizontal="center" vertical="center" wrapText="1"/>
    </xf>
    <xf numFmtId="0" fontId="25" fillId="33" borderId="9" xfId="90" applyFont="1" applyFill="1" applyBorder="1" applyAlignment="1">
      <alignment horizontal="center" vertical="center" wrapText="1"/>
    </xf>
    <xf numFmtId="0" fontId="25" fillId="33" borderId="10" xfId="90" applyFont="1" applyFill="1" applyBorder="1" applyAlignment="1">
      <alignment horizontal="center" vertical="center" wrapText="1"/>
    </xf>
    <xf numFmtId="0" fontId="27" fillId="33" borderId="42" xfId="90" applyFont="1" applyFill="1" applyBorder="1" applyAlignment="1">
      <alignment horizontal="center" vertical="center" wrapText="1"/>
    </xf>
    <xf numFmtId="0" fontId="27" fillId="33" borderId="25" xfId="90" applyFont="1" applyFill="1" applyBorder="1" applyAlignment="1">
      <alignment horizontal="center" vertical="center" wrapText="1"/>
    </xf>
    <xf numFmtId="0" fontId="27" fillId="33" borderId="26" xfId="90" applyFont="1" applyFill="1" applyBorder="1" applyAlignment="1">
      <alignment horizontal="center" vertical="center" wrapText="1"/>
    </xf>
    <xf numFmtId="43" fontId="21" fillId="0" borderId="0" xfId="86" applyNumberFormat="1" applyFont="1" applyFill="1">
      <alignment vertical="center"/>
    </xf>
    <xf numFmtId="178" fontId="21" fillId="0" borderId="0" xfId="86" applyNumberFormat="1" applyFont="1" applyFill="1">
      <alignment vertical="center"/>
    </xf>
    <xf numFmtId="0" fontId="29" fillId="37" borderId="50" xfId="93" applyFont="1" applyFill="1" applyBorder="1" applyAlignment="1">
      <alignment horizontal="center" vertical="center"/>
    </xf>
    <xf numFmtId="0" fontId="29" fillId="37" borderId="51" xfId="93" applyFont="1" applyFill="1" applyBorder="1" applyAlignment="1">
      <alignment horizontal="center" vertical="center"/>
    </xf>
    <xf numFmtId="0" fontId="29" fillId="37" borderId="52" xfId="93" applyFont="1" applyFill="1" applyBorder="1" applyAlignment="1">
      <alignment horizontal="center" vertical="center"/>
    </xf>
    <xf numFmtId="0" fontId="29" fillId="37" borderId="53" xfId="93" applyFont="1" applyFill="1" applyBorder="1" applyAlignment="1">
      <alignment horizontal="center" vertical="center"/>
    </xf>
    <xf numFmtId="0" fontId="31" fillId="0" borderId="54" xfId="93" applyFont="1" applyFill="1" applyBorder="1" applyAlignment="1">
      <alignment horizontal="center" vertical="center"/>
    </xf>
    <xf numFmtId="41" fontId="0" fillId="0" borderId="55" xfId="92" applyFont="1" applyBorder="1">
      <alignment vertical="center"/>
    </xf>
    <xf numFmtId="0" fontId="31" fillId="0" borderId="56" xfId="93" applyFont="1" applyFill="1" applyBorder="1" applyAlignment="1">
      <alignment horizontal="center" vertical="center"/>
    </xf>
    <xf numFmtId="41" fontId="0" fillId="0" borderId="2" xfId="92" applyFont="1" applyBorder="1">
      <alignment vertical="center"/>
    </xf>
    <xf numFmtId="41" fontId="31" fillId="0" borderId="56" xfId="92" applyFont="1" applyFill="1" applyBorder="1" applyAlignment="1">
      <alignment horizontal="center" vertical="center"/>
    </xf>
    <xf numFmtId="0" fontId="31" fillId="0" borderId="57" xfId="93" applyFont="1" applyFill="1" applyBorder="1" applyAlignment="1">
      <alignment horizontal="center" vertical="center"/>
    </xf>
    <xf numFmtId="41" fontId="0" fillId="0" borderId="58" xfId="92" applyFont="1" applyBorder="1">
      <alignment vertical="center"/>
    </xf>
  </cellXfs>
  <cellStyles count="94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설명 텍스트 2" xfId="59"/>
    <cellStyle name="설명 텍스트 3" xfId="60"/>
    <cellStyle name="셀 확인 2" xfId="61"/>
    <cellStyle name="셀 확인 3" xfId="62"/>
    <cellStyle name="쉼표 [0]" xfId="92" builtinId="6"/>
    <cellStyle name="쉼표 [0] 2" xfId="63"/>
    <cellStyle name="쉼표 [0] 3" xfId="64"/>
    <cellStyle name="쉼표 [0] 4" xfId="65"/>
    <cellStyle name="연결된 셀 2" xfId="66"/>
    <cellStyle name="연결된 셀 3" xfId="67"/>
    <cellStyle name="요약 2" xfId="68"/>
    <cellStyle name="요약 3" xfId="69"/>
    <cellStyle name="입력 2" xfId="70"/>
    <cellStyle name="입력 3" xfId="71"/>
    <cellStyle name="제목 1 2" xfId="72"/>
    <cellStyle name="제목 1 3" xfId="73"/>
    <cellStyle name="제목 2 2" xfId="74"/>
    <cellStyle name="제목 2 3" xfId="75"/>
    <cellStyle name="제목 3 2" xfId="76"/>
    <cellStyle name="제목 3 3" xfId="77"/>
    <cellStyle name="제목 4 2" xfId="78"/>
    <cellStyle name="제목 4 3" xfId="79"/>
    <cellStyle name="제목 5" xfId="80"/>
    <cellStyle name="제목 6" xfId="81"/>
    <cellStyle name="좋음 2" xfId="82"/>
    <cellStyle name="좋음 3" xfId="83"/>
    <cellStyle name="출력 2" xfId="84"/>
    <cellStyle name="출력 3" xfId="85"/>
    <cellStyle name="표준" xfId="0" builtinId="0"/>
    <cellStyle name="표준 2" xfId="86"/>
    <cellStyle name="표준 3" xfId="87"/>
    <cellStyle name="표준 4" xfId="88"/>
    <cellStyle name="표준 5" xfId="89"/>
    <cellStyle name="표준 6" xfId="90"/>
    <cellStyle name="표준 7" xfId="91"/>
    <cellStyle name="표준_Book3" xfId="9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8"/>
  <sheetViews>
    <sheetView tabSelected="1" view="pageBreakPreview" topLeftCell="C1" zoomScale="90" zoomScaleNormal="70" zoomScaleSheetLayoutView="90" workbookViewId="0">
      <pane ySplit="1" topLeftCell="A2" activePane="bottomLeft" state="frozen"/>
      <selection pane="bottomLeft" activeCell="C7" sqref="C7:C8"/>
    </sheetView>
  </sheetViews>
  <sheetFormatPr defaultRowHeight="13.5" x14ac:dyDescent="0.3"/>
  <cols>
    <col min="1" max="1" width="14" style="1" hidden="1" customWidth="1"/>
    <col min="2" max="2" width="15.125" style="1" hidden="1" customWidth="1"/>
    <col min="3" max="3" width="12.625" style="1" customWidth="1"/>
    <col min="4" max="36" width="8.625" style="1" customWidth="1"/>
    <col min="37" max="37" width="9" style="1"/>
    <col min="38" max="38" width="14.625" style="1" customWidth="1"/>
    <col min="39" max="16384" width="9" style="1"/>
  </cols>
  <sheetData>
    <row r="1" spans="1:43" ht="20.100000000000001" customHeight="1" x14ac:dyDescent="0.3">
      <c r="A1" s="59" t="s">
        <v>41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</row>
    <row r="2" spans="1:43" ht="20.100000000000001" customHeight="1" x14ac:dyDescent="0.3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</row>
    <row r="3" spans="1:43" ht="19.5" customHeight="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</row>
    <row r="4" spans="1:43" ht="20.100000000000001" customHeight="1" x14ac:dyDescent="0.3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</row>
    <row r="5" spans="1:43" ht="20.100000000000001" customHeight="1" x14ac:dyDescent="0.3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</row>
    <row r="6" spans="1:43" ht="19.5" customHeight="1" thickBot="1" x14ac:dyDescent="0.3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</row>
    <row r="7" spans="1:43" ht="21" customHeight="1" x14ac:dyDescent="0.3">
      <c r="A7" s="60" t="s">
        <v>6</v>
      </c>
      <c r="B7" s="61" t="s">
        <v>7</v>
      </c>
      <c r="C7" s="62" t="s">
        <v>0</v>
      </c>
      <c r="D7" s="68" t="s">
        <v>42</v>
      </c>
      <c r="E7" s="69"/>
      <c r="F7" s="69"/>
      <c r="G7" s="69"/>
      <c r="H7" s="69"/>
      <c r="I7" s="70"/>
      <c r="J7" s="68" t="s">
        <v>43</v>
      </c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70"/>
      <c r="AL7" s="64" t="s">
        <v>1</v>
      </c>
      <c r="AM7" s="66" t="s">
        <v>2</v>
      </c>
    </row>
    <row r="8" spans="1:43" ht="21" customHeight="1" thickBot="1" x14ac:dyDescent="0.35">
      <c r="A8" s="60"/>
      <c r="B8" s="61"/>
      <c r="C8" s="63"/>
      <c r="D8" s="33">
        <v>1</v>
      </c>
      <c r="E8" s="34">
        <v>9</v>
      </c>
      <c r="F8" s="4">
        <v>17</v>
      </c>
      <c r="G8" s="55">
        <v>18</v>
      </c>
      <c r="H8" s="21">
        <v>23</v>
      </c>
      <c r="I8" s="51">
        <v>30</v>
      </c>
      <c r="J8" s="33">
        <v>1</v>
      </c>
      <c r="K8" s="34">
        <v>2</v>
      </c>
      <c r="L8" s="5">
        <v>3</v>
      </c>
      <c r="M8" s="5">
        <v>4</v>
      </c>
      <c r="N8" s="5">
        <v>5</v>
      </c>
      <c r="O8" s="5">
        <v>6</v>
      </c>
      <c r="P8" s="5">
        <v>7</v>
      </c>
      <c r="Q8" s="34">
        <v>8</v>
      </c>
      <c r="R8" s="5">
        <v>10</v>
      </c>
      <c r="S8" s="5">
        <v>11</v>
      </c>
      <c r="T8" s="5">
        <v>12</v>
      </c>
      <c r="U8" s="5">
        <v>13</v>
      </c>
      <c r="V8" s="5">
        <v>14</v>
      </c>
      <c r="W8" s="21">
        <v>15</v>
      </c>
      <c r="X8" s="21">
        <v>16</v>
      </c>
      <c r="Y8" s="5">
        <v>17</v>
      </c>
      <c r="Z8" s="5">
        <v>18</v>
      </c>
      <c r="AA8" s="5">
        <v>19</v>
      </c>
      <c r="AB8" s="5">
        <v>20</v>
      </c>
      <c r="AC8" s="5">
        <v>21</v>
      </c>
      <c r="AD8" s="21">
        <v>22</v>
      </c>
      <c r="AE8" s="5">
        <v>24</v>
      </c>
      <c r="AF8" s="5">
        <v>25</v>
      </c>
      <c r="AG8" s="5">
        <v>26</v>
      </c>
      <c r="AH8" s="5">
        <v>27</v>
      </c>
      <c r="AI8" s="21">
        <v>29</v>
      </c>
      <c r="AJ8" s="21">
        <v>30</v>
      </c>
      <c r="AK8" s="6" t="s">
        <v>3</v>
      </c>
      <c r="AL8" s="65"/>
      <c r="AM8" s="67"/>
    </row>
    <row r="9" spans="1:43" ht="23.1" customHeight="1" x14ac:dyDescent="0.3">
      <c r="A9" s="1" t="s">
        <v>9</v>
      </c>
      <c r="B9" s="1" t="s">
        <v>9</v>
      </c>
      <c r="C9" s="7" t="s">
        <v>31</v>
      </c>
      <c r="D9" s="35"/>
      <c r="E9" s="26"/>
      <c r="F9" s="43"/>
      <c r="G9" s="49"/>
      <c r="H9" s="26"/>
      <c r="I9" s="52"/>
      <c r="J9" s="35" t="s">
        <v>21</v>
      </c>
      <c r="K9" s="26"/>
      <c r="L9" s="25"/>
      <c r="M9" s="25"/>
      <c r="N9" s="25"/>
      <c r="O9" s="25"/>
      <c r="P9" s="25"/>
      <c r="Q9" s="26"/>
      <c r="R9" s="25"/>
      <c r="S9" s="25"/>
      <c r="T9" s="25"/>
      <c r="U9" s="25"/>
      <c r="V9" s="25"/>
      <c r="W9" s="26"/>
      <c r="X9" s="26"/>
      <c r="Y9" s="25"/>
      <c r="Z9" s="25"/>
      <c r="AA9" s="25"/>
      <c r="AB9" s="25"/>
      <c r="AC9" s="25"/>
      <c r="AD9" s="26"/>
      <c r="AE9" s="25"/>
      <c r="AF9" s="25"/>
      <c r="AG9" s="25"/>
      <c r="AH9" s="25"/>
      <c r="AI9" s="26"/>
      <c r="AJ9" s="39"/>
      <c r="AK9" s="8">
        <f t="shared" ref="AK9:AK14" si="0">COUNTA(D9:AJ9)</f>
        <v>1</v>
      </c>
      <c r="AL9" s="9">
        <f t="shared" ref="AL9:AL44" si="1">AK9*70000</f>
        <v>70000</v>
      </c>
      <c r="AM9" s="10"/>
      <c r="AQ9" s="72"/>
    </row>
    <row r="10" spans="1:43" ht="23.1" customHeight="1" x14ac:dyDescent="0.3">
      <c r="A10" s="1" t="s">
        <v>9</v>
      </c>
      <c r="B10" s="1" t="s">
        <v>9</v>
      </c>
      <c r="C10" s="7" t="s">
        <v>32</v>
      </c>
      <c r="D10" s="36"/>
      <c r="E10" s="22"/>
      <c r="F10" s="44"/>
      <c r="G10" s="18"/>
      <c r="H10" s="50"/>
      <c r="I10" s="22"/>
      <c r="J10" s="36"/>
      <c r="K10" s="22"/>
      <c r="L10" s="18"/>
      <c r="M10" s="18"/>
      <c r="N10" s="18"/>
      <c r="O10" s="18"/>
      <c r="P10" s="18"/>
      <c r="Q10" s="22"/>
      <c r="R10" s="18"/>
      <c r="S10" s="18"/>
      <c r="T10" s="18"/>
      <c r="U10" s="19" t="s">
        <v>21</v>
      </c>
      <c r="V10" s="18"/>
      <c r="W10" s="22"/>
      <c r="X10" s="22"/>
      <c r="Y10" s="18"/>
      <c r="Z10" s="18"/>
      <c r="AA10" s="18"/>
      <c r="AB10" s="18"/>
      <c r="AC10" s="18"/>
      <c r="AD10" s="22"/>
      <c r="AE10" s="18"/>
      <c r="AF10" s="18"/>
      <c r="AG10" s="18"/>
      <c r="AH10" s="19" t="s">
        <v>21</v>
      </c>
      <c r="AI10" s="22"/>
      <c r="AJ10" s="40"/>
      <c r="AK10" s="8">
        <f t="shared" si="0"/>
        <v>2</v>
      </c>
      <c r="AL10" s="9">
        <f t="shared" si="1"/>
        <v>140000</v>
      </c>
      <c r="AM10" s="11"/>
    </row>
    <row r="11" spans="1:43" ht="23.1" customHeight="1" x14ac:dyDescent="0.3">
      <c r="A11" s="1" t="s">
        <v>9</v>
      </c>
      <c r="B11" s="1" t="s">
        <v>9</v>
      </c>
      <c r="C11" s="7" t="s">
        <v>10</v>
      </c>
      <c r="D11" s="36"/>
      <c r="E11" s="22"/>
      <c r="F11" s="45" t="s">
        <v>21</v>
      </c>
      <c r="G11" s="19" t="s">
        <v>21</v>
      </c>
      <c r="H11" s="22"/>
      <c r="I11" s="23"/>
      <c r="J11" s="36"/>
      <c r="K11" s="22"/>
      <c r="L11" s="19" t="s">
        <v>21</v>
      </c>
      <c r="M11" s="19" t="s">
        <v>21</v>
      </c>
      <c r="N11" s="19" t="s">
        <v>21</v>
      </c>
      <c r="O11" s="19" t="s">
        <v>21</v>
      </c>
      <c r="P11" s="18"/>
      <c r="Q11" s="22"/>
      <c r="R11" s="19" t="s">
        <v>21</v>
      </c>
      <c r="S11" s="19" t="s">
        <v>21</v>
      </c>
      <c r="T11" s="18"/>
      <c r="U11" s="19" t="s">
        <v>21</v>
      </c>
      <c r="V11" s="18"/>
      <c r="W11" s="22"/>
      <c r="X11" s="22"/>
      <c r="Y11" s="19" t="s">
        <v>21</v>
      </c>
      <c r="Z11" s="19" t="s">
        <v>21</v>
      </c>
      <c r="AA11" s="19" t="s">
        <v>21</v>
      </c>
      <c r="AB11" s="18"/>
      <c r="AC11" s="18"/>
      <c r="AD11" s="22"/>
      <c r="AE11" s="18"/>
      <c r="AF11" s="18"/>
      <c r="AG11" s="18"/>
      <c r="AH11" s="19" t="s">
        <v>21</v>
      </c>
      <c r="AI11" s="22"/>
      <c r="AJ11" s="40"/>
      <c r="AK11" s="8">
        <f t="shared" si="0"/>
        <v>13</v>
      </c>
      <c r="AL11" s="9">
        <f t="shared" si="1"/>
        <v>910000</v>
      </c>
      <c r="AM11" s="11"/>
      <c r="AQ11" s="71"/>
    </row>
    <row r="12" spans="1:43" ht="23.1" customHeight="1" x14ac:dyDescent="0.3">
      <c r="A12" s="1" t="s">
        <v>8</v>
      </c>
      <c r="B12" s="2" t="s">
        <v>8</v>
      </c>
      <c r="C12" s="7" t="s">
        <v>26</v>
      </c>
      <c r="D12" s="36"/>
      <c r="E12" s="22"/>
      <c r="F12" s="44"/>
      <c r="G12" s="18"/>
      <c r="H12" s="50"/>
      <c r="I12" s="22"/>
      <c r="J12" s="36"/>
      <c r="K12" s="22"/>
      <c r="L12" s="18"/>
      <c r="M12" s="18"/>
      <c r="N12" s="18"/>
      <c r="O12" s="18"/>
      <c r="P12" s="18"/>
      <c r="Q12" s="22"/>
      <c r="R12" s="18"/>
      <c r="S12" s="18"/>
      <c r="T12" s="18"/>
      <c r="U12" s="18"/>
      <c r="V12" s="18"/>
      <c r="W12" s="22"/>
      <c r="X12" s="22"/>
      <c r="Y12" s="18"/>
      <c r="Z12" s="18"/>
      <c r="AA12" s="18"/>
      <c r="AB12" s="18"/>
      <c r="AC12" s="18"/>
      <c r="AD12" s="22"/>
      <c r="AE12" s="18"/>
      <c r="AF12" s="19" t="s">
        <v>21</v>
      </c>
      <c r="AG12" s="18"/>
      <c r="AH12" s="19" t="s">
        <v>21</v>
      </c>
      <c r="AI12" s="22"/>
      <c r="AJ12" s="40"/>
      <c r="AK12" s="8">
        <f t="shared" si="0"/>
        <v>2</v>
      </c>
      <c r="AL12" s="9">
        <f t="shared" ref="AL12:AL15" si="2">AK12*70000</f>
        <v>140000</v>
      </c>
      <c r="AM12" s="11"/>
    </row>
    <row r="13" spans="1:43" ht="23.1" customHeight="1" x14ac:dyDescent="0.3">
      <c r="A13" s="1" t="s">
        <v>8</v>
      </c>
      <c r="B13" s="2" t="s">
        <v>8</v>
      </c>
      <c r="C13" s="7" t="s">
        <v>38</v>
      </c>
      <c r="D13" s="36"/>
      <c r="E13" s="22"/>
      <c r="F13" s="44"/>
      <c r="G13" s="18"/>
      <c r="H13" s="50"/>
      <c r="I13" s="22"/>
      <c r="J13" s="36"/>
      <c r="K13" s="22"/>
      <c r="L13" s="18"/>
      <c r="M13" s="18"/>
      <c r="N13" s="18"/>
      <c r="O13" s="18"/>
      <c r="P13" s="18"/>
      <c r="Q13" s="22"/>
      <c r="R13" s="18"/>
      <c r="S13" s="18"/>
      <c r="T13" s="18"/>
      <c r="U13" s="18"/>
      <c r="V13" s="18"/>
      <c r="W13" s="22"/>
      <c r="X13" s="22"/>
      <c r="Y13" s="18"/>
      <c r="Z13" s="18"/>
      <c r="AA13" s="19" t="s">
        <v>21</v>
      </c>
      <c r="AB13" s="18"/>
      <c r="AC13" s="18"/>
      <c r="AD13" s="22"/>
      <c r="AE13" s="18"/>
      <c r="AF13" s="18"/>
      <c r="AG13" s="18"/>
      <c r="AH13" s="18"/>
      <c r="AI13" s="22"/>
      <c r="AJ13" s="40"/>
      <c r="AK13" s="8">
        <f t="shared" si="0"/>
        <v>1</v>
      </c>
      <c r="AL13" s="9">
        <f t="shared" ref="AL13:AL14" si="3">AK13*70000</f>
        <v>70000</v>
      </c>
      <c r="AM13" s="11"/>
    </row>
    <row r="14" spans="1:43" ht="23.1" customHeight="1" x14ac:dyDescent="0.3">
      <c r="A14" s="1" t="s">
        <v>8</v>
      </c>
      <c r="B14" s="2" t="s">
        <v>8</v>
      </c>
      <c r="C14" s="7" t="s">
        <v>53</v>
      </c>
      <c r="D14" s="36"/>
      <c r="E14" s="22"/>
      <c r="F14" s="44"/>
      <c r="G14" s="18"/>
      <c r="H14" s="23" t="s">
        <v>21</v>
      </c>
      <c r="I14" s="22"/>
      <c r="J14" s="36"/>
      <c r="K14" s="22"/>
      <c r="L14" s="18"/>
      <c r="M14" s="18"/>
      <c r="N14" s="18"/>
      <c r="O14" s="18"/>
      <c r="P14" s="18"/>
      <c r="Q14" s="22"/>
      <c r="R14" s="18"/>
      <c r="S14" s="18"/>
      <c r="T14" s="18"/>
      <c r="U14" s="18"/>
      <c r="V14" s="18"/>
      <c r="W14" s="22"/>
      <c r="X14" s="22"/>
      <c r="Y14" s="18"/>
      <c r="Z14" s="18"/>
      <c r="AA14" s="19"/>
      <c r="AB14" s="19" t="s">
        <v>21</v>
      </c>
      <c r="AC14" s="18"/>
      <c r="AD14" s="22"/>
      <c r="AE14" s="18"/>
      <c r="AF14" s="18"/>
      <c r="AG14" s="18"/>
      <c r="AH14" s="18"/>
      <c r="AI14" s="22"/>
      <c r="AJ14" s="40"/>
      <c r="AK14" s="8">
        <f t="shared" si="0"/>
        <v>2</v>
      </c>
      <c r="AL14" s="9">
        <f t="shared" si="3"/>
        <v>140000</v>
      </c>
      <c r="AM14" s="11"/>
    </row>
    <row r="15" spans="1:43" ht="23.1" customHeight="1" x14ac:dyDescent="0.3">
      <c r="A15" s="1" t="s">
        <v>8</v>
      </c>
      <c r="B15" s="2" t="s">
        <v>8</v>
      </c>
      <c r="C15" s="7" t="s">
        <v>55</v>
      </c>
      <c r="D15" s="36"/>
      <c r="E15" s="22"/>
      <c r="F15" s="44"/>
      <c r="G15" s="18"/>
      <c r="H15" s="50"/>
      <c r="I15" s="22"/>
      <c r="J15" s="36"/>
      <c r="K15" s="22"/>
      <c r="L15" s="18"/>
      <c r="M15" s="18"/>
      <c r="N15" s="18"/>
      <c r="O15" s="18"/>
      <c r="P15" s="18"/>
      <c r="Q15" s="22"/>
      <c r="R15" s="18"/>
      <c r="S15" s="18"/>
      <c r="T15" s="18"/>
      <c r="U15" s="18"/>
      <c r="V15" s="18"/>
      <c r="W15" s="22"/>
      <c r="X15" s="22"/>
      <c r="Y15" s="18"/>
      <c r="Z15" s="18"/>
      <c r="AA15" s="19"/>
      <c r="AB15" s="19"/>
      <c r="AC15" s="18"/>
      <c r="AD15" s="22"/>
      <c r="AE15" s="18"/>
      <c r="AF15" s="19" t="s">
        <v>21</v>
      </c>
      <c r="AG15" s="18"/>
      <c r="AH15" s="18"/>
      <c r="AI15" s="22"/>
      <c r="AJ15" s="40"/>
      <c r="AK15" s="8">
        <f t="shared" ref="AK15:AK23" si="4">COUNTA(J15:AJ15)</f>
        <v>1</v>
      </c>
      <c r="AL15" s="9">
        <f t="shared" si="2"/>
        <v>70000</v>
      </c>
      <c r="AM15" s="11"/>
    </row>
    <row r="16" spans="1:43" ht="23.1" customHeight="1" x14ac:dyDescent="0.3">
      <c r="A16" s="1" t="s">
        <v>8</v>
      </c>
      <c r="B16" s="2" t="s">
        <v>8</v>
      </c>
      <c r="C16" s="7" t="s">
        <v>49</v>
      </c>
      <c r="D16" s="36"/>
      <c r="E16" s="22"/>
      <c r="F16" s="44"/>
      <c r="G16" s="18"/>
      <c r="H16" s="50"/>
      <c r="I16" s="22"/>
      <c r="J16" s="36"/>
      <c r="K16" s="22"/>
      <c r="L16" s="18"/>
      <c r="M16" s="18"/>
      <c r="N16" s="18"/>
      <c r="O16" s="18"/>
      <c r="P16" s="18"/>
      <c r="Q16" s="22"/>
      <c r="R16" s="18"/>
      <c r="S16" s="18"/>
      <c r="T16" s="18"/>
      <c r="U16" s="18"/>
      <c r="V16" s="18"/>
      <c r="W16" s="22"/>
      <c r="X16" s="22"/>
      <c r="Y16" s="19" t="s">
        <v>21</v>
      </c>
      <c r="Z16" s="18"/>
      <c r="AA16" s="18"/>
      <c r="AB16" s="18"/>
      <c r="AC16" s="18"/>
      <c r="AD16" s="22"/>
      <c r="AE16" s="18"/>
      <c r="AF16" s="18"/>
      <c r="AG16" s="18"/>
      <c r="AH16" s="18"/>
      <c r="AI16" s="22"/>
      <c r="AJ16" s="40"/>
      <c r="AK16" s="8">
        <f t="shared" si="4"/>
        <v>1</v>
      </c>
      <c r="AL16" s="9">
        <f t="shared" si="1"/>
        <v>70000</v>
      </c>
      <c r="AM16" s="11"/>
    </row>
    <row r="17" spans="1:39" ht="23.1" customHeight="1" x14ac:dyDescent="0.3">
      <c r="A17" s="1" t="s">
        <v>8</v>
      </c>
      <c r="B17" s="2" t="s">
        <v>8</v>
      </c>
      <c r="C17" s="7" t="s">
        <v>36</v>
      </c>
      <c r="D17" s="36"/>
      <c r="E17" s="22"/>
      <c r="F17" s="44"/>
      <c r="G17" s="18"/>
      <c r="H17" s="50"/>
      <c r="I17" s="22"/>
      <c r="J17" s="36"/>
      <c r="K17" s="22"/>
      <c r="L17" s="18"/>
      <c r="M17" s="18"/>
      <c r="N17" s="18"/>
      <c r="O17" s="18"/>
      <c r="P17" s="18"/>
      <c r="Q17" s="22"/>
      <c r="R17" s="18"/>
      <c r="S17" s="18"/>
      <c r="T17" s="18"/>
      <c r="U17" s="18"/>
      <c r="V17" s="18"/>
      <c r="W17" s="22"/>
      <c r="X17" s="22"/>
      <c r="Y17" s="18"/>
      <c r="Z17" s="18"/>
      <c r="AA17" s="18"/>
      <c r="AB17" s="18"/>
      <c r="AC17" s="18"/>
      <c r="AD17" s="22"/>
      <c r="AE17" s="18"/>
      <c r="AF17" s="19" t="s">
        <v>21</v>
      </c>
      <c r="AG17" s="18"/>
      <c r="AH17" s="19" t="s">
        <v>21</v>
      </c>
      <c r="AI17" s="22"/>
      <c r="AJ17" s="40"/>
      <c r="AK17" s="8">
        <f t="shared" si="4"/>
        <v>2</v>
      </c>
      <c r="AL17" s="9">
        <f t="shared" si="1"/>
        <v>140000</v>
      </c>
      <c r="AM17" s="11"/>
    </row>
    <row r="18" spans="1:39" ht="23.1" customHeight="1" x14ac:dyDescent="0.3">
      <c r="A18" s="1" t="s">
        <v>8</v>
      </c>
      <c r="B18" s="2" t="s">
        <v>8</v>
      </c>
      <c r="C18" s="7" t="s">
        <v>37</v>
      </c>
      <c r="D18" s="36"/>
      <c r="E18" s="22"/>
      <c r="F18" s="44"/>
      <c r="G18" s="18"/>
      <c r="H18" s="50"/>
      <c r="I18" s="22"/>
      <c r="J18" s="36"/>
      <c r="K18" s="22"/>
      <c r="L18" s="18"/>
      <c r="M18" s="18"/>
      <c r="N18" s="18"/>
      <c r="O18" s="18"/>
      <c r="P18" s="18"/>
      <c r="Q18" s="22"/>
      <c r="R18" s="18"/>
      <c r="S18" s="18"/>
      <c r="T18" s="18"/>
      <c r="U18" s="18"/>
      <c r="V18" s="18"/>
      <c r="W18" s="22"/>
      <c r="X18" s="22"/>
      <c r="Y18" s="18"/>
      <c r="Z18" s="18"/>
      <c r="AA18" s="18"/>
      <c r="AB18" s="19" t="s">
        <v>21</v>
      </c>
      <c r="AC18" s="18"/>
      <c r="AD18" s="22"/>
      <c r="AE18" s="18"/>
      <c r="AF18" s="18"/>
      <c r="AG18" s="18"/>
      <c r="AH18" s="18"/>
      <c r="AI18" s="22"/>
      <c r="AJ18" s="40"/>
      <c r="AK18" s="8">
        <f t="shared" si="4"/>
        <v>1</v>
      </c>
      <c r="AL18" s="9">
        <f t="shared" si="1"/>
        <v>70000</v>
      </c>
      <c r="AM18" s="11"/>
    </row>
    <row r="19" spans="1:39" ht="23.1" customHeight="1" x14ac:dyDescent="0.3">
      <c r="A19" s="1" t="s">
        <v>8</v>
      </c>
      <c r="B19" s="2" t="s">
        <v>8</v>
      </c>
      <c r="C19" s="7" t="s">
        <v>45</v>
      </c>
      <c r="D19" s="36"/>
      <c r="E19" s="22"/>
      <c r="F19" s="44"/>
      <c r="G19" s="18"/>
      <c r="H19" s="50"/>
      <c r="I19" s="22"/>
      <c r="J19" s="36"/>
      <c r="K19" s="22"/>
      <c r="L19" s="18"/>
      <c r="M19" s="18"/>
      <c r="N19" s="18"/>
      <c r="O19" s="18"/>
      <c r="P19" s="18"/>
      <c r="Q19" s="22"/>
      <c r="R19" s="18"/>
      <c r="S19" s="18"/>
      <c r="T19" s="18"/>
      <c r="U19" s="18"/>
      <c r="V19" s="18"/>
      <c r="W19" s="22"/>
      <c r="X19" s="23" t="s">
        <v>21</v>
      </c>
      <c r="Y19" s="18"/>
      <c r="Z19" s="18"/>
      <c r="AA19" s="18"/>
      <c r="AB19" s="18"/>
      <c r="AC19" s="18"/>
      <c r="AD19" s="22"/>
      <c r="AE19" s="18"/>
      <c r="AF19" s="18"/>
      <c r="AG19" s="18"/>
      <c r="AH19" s="18"/>
      <c r="AI19" s="22"/>
      <c r="AJ19" s="40"/>
      <c r="AK19" s="8">
        <f t="shared" si="4"/>
        <v>1</v>
      </c>
      <c r="AL19" s="9">
        <f t="shared" ref="AL19:AL21" si="5">AK19*70000</f>
        <v>70000</v>
      </c>
      <c r="AM19" s="11"/>
    </row>
    <row r="20" spans="1:39" ht="23.1" customHeight="1" x14ac:dyDescent="0.3">
      <c r="A20" s="1" t="s">
        <v>8</v>
      </c>
      <c r="B20" s="2" t="s">
        <v>8</v>
      </c>
      <c r="C20" s="7" t="s">
        <v>27</v>
      </c>
      <c r="D20" s="36"/>
      <c r="E20" s="22"/>
      <c r="F20" s="44"/>
      <c r="G20" s="18"/>
      <c r="H20" s="50"/>
      <c r="I20" s="22"/>
      <c r="J20" s="36"/>
      <c r="K20" s="22"/>
      <c r="L20" s="18"/>
      <c r="M20" s="18"/>
      <c r="N20" s="18"/>
      <c r="O20" s="18"/>
      <c r="P20" s="18"/>
      <c r="Q20" s="22"/>
      <c r="R20" s="18"/>
      <c r="S20" s="18"/>
      <c r="T20" s="18"/>
      <c r="U20" s="18"/>
      <c r="V20" s="18"/>
      <c r="W20" s="22"/>
      <c r="X20" s="22"/>
      <c r="Y20" s="18"/>
      <c r="Z20" s="18"/>
      <c r="AA20" s="19" t="s">
        <v>21</v>
      </c>
      <c r="AB20" s="18"/>
      <c r="AC20" s="18"/>
      <c r="AD20" s="22"/>
      <c r="AE20" s="18"/>
      <c r="AF20" s="18"/>
      <c r="AG20" s="18"/>
      <c r="AH20" s="18"/>
      <c r="AI20" s="22"/>
      <c r="AJ20" s="40"/>
      <c r="AK20" s="8">
        <f t="shared" si="4"/>
        <v>1</v>
      </c>
      <c r="AL20" s="9">
        <f t="shared" si="5"/>
        <v>70000</v>
      </c>
      <c r="AM20" s="11"/>
    </row>
    <row r="21" spans="1:39" ht="23.1" customHeight="1" x14ac:dyDescent="0.3">
      <c r="A21" s="1" t="s">
        <v>8</v>
      </c>
      <c r="B21" s="2" t="s">
        <v>8</v>
      </c>
      <c r="C21" s="7" t="s">
        <v>33</v>
      </c>
      <c r="D21" s="36"/>
      <c r="E21" s="22"/>
      <c r="F21" s="44"/>
      <c r="G21" s="18"/>
      <c r="H21" s="50"/>
      <c r="I21" s="22"/>
      <c r="J21" s="36"/>
      <c r="K21" s="22"/>
      <c r="L21" s="18"/>
      <c r="M21" s="18"/>
      <c r="N21" s="18"/>
      <c r="O21" s="18"/>
      <c r="P21" s="18"/>
      <c r="Q21" s="22"/>
      <c r="R21" s="18"/>
      <c r="S21" s="18"/>
      <c r="T21" s="18"/>
      <c r="U21" s="18"/>
      <c r="V21" s="18"/>
      <c r="W21" s="22"/>
      <c r="X21" s="22"/>
      <c r="Y21" s="18"/>
      <c r="Z21" s="19" t="s">
        <v>21</v>
      </c>
      <c r="AA21" s="18"/>
      <c r="AB21" s="18"/>
      <c r="AC21" s="18"/>
      <c r="AD21" s="22"/>
      <c r="AE21" s="18"/>
      <c r="AF21" s="19" t="s">
        <v>21</v>
      </c>
      <c r="AG21" s="18"/>
      <c r="AH21" s="18"/>
      <c r="AI21" s="22"/>
      <c r="AJ21" s="40"/>
      <c r="AK21" s="8">
        <f t="shared" si="4"/>
        <v>2</v>
      </c>
      <c r="AL21" s="9">
        <f t="shared" si="5"/>
        <v>140000</v>
      </c>
      <c r="AM21" s="11"/>
    </row>
    <row r="22" spans="1:39" ht="23.1" customHeight="1" x14ac:dyDescent="0.3">
      <c r="A22" s="1" t="s">
        <v>9</v>
      </c>
      <c r="B22" s="1" t="s">
        <v>9</v>
      </c>
      <c r="C22" s="7" t="s">
        <v>11</v>
      </c>
      <c r="D22" s="36"/>
      <c r="E22" s="22"/>
      <c r="F22" s="44"/>
      <c r="G22" s="18"/>
      <c r="H22" s="50"/>
      <c r="I22" s="22"/>
      <c r="J22" s="36"/>
      <c r="K22" s="22"/>
      <c r="L22" s="18"/>
      <c r="M22" s="18"/>
      <c r="N22" s="18"/>
      <c r="O22" s="18"/>
      <c r="P22" s="18"/>
      <c r="Q22" s="22"/>
      <c r="R22" s="18"/>
      <c r="S22" s="18"/>
      <c r="T22" s="18"/>
      <c r="U22" s="18"/>
      <c r="V22" s="18"/>
      <c r="W22" s="23" t="s">
        <v>21</v>
      </c>
      <c r="X22" s="23" t="s">
        <v>21</v>
      </c>
      <c r="Y22" s="18"/>
      <c r="Z22" s="19" t="s">
        <v>21</v>
      </c>
      <c r="AA22" s="18"/>
      <c r="AB22" s="18"/>
      <c r="AC22" s="18"/>
      <c r="AD22" s="22"/>
      <c r="AE22" s="18"/>
      <c r="AF22" s="19" t="s">
        <v>21</v>
      </c>
      <c r="AG22" s="18"/>
      <c r="AH22" s="19" t="s">
        <v>21</v>
      </c>
      <c r="AI22" s="22"/>
      <c r="AJ22" s="40"/>
      <c r="AK22" s="8">
        <f t="shared" si="4"/>
        <v>5</v>
      </c>
      <c r="AL22" s="9">
        <f t="shared" ref="AL22" si="6">AK22*70000</f>
        <v>350000</v>
      </c>
      <c r="AM22" s="10"/>
    </row>
    <row r="23" spans="1:39" ht="23.1" customHeight="1" x14ac:dyDescent="0.3">
      <c r="A23" s="1" t="s">
        <v>9</v>
      </c>
      <c r="B23" s="1" t="s">
        <v>9</v>
      </c>
      <c r="C23" s="7" t="s">
        <v>34</v>
      </c>
      <c r="D23" s="36"/>
      <c r="E23" s="22"/>
      <c r="F23" s="44"/>
      <c r="G23" s="18"/>
      <c r="H23" s="50"/>
      <c r="I23" s="22"/>
      <c r="J23" s="36"/>
      <c r="K23" s="22"/>
      <c r="L23" s="18"/>
      <c r="M23" s="18"/>
      <c r="N23" s="19" t="s">
        <v>21</v>
      </c>
      <c r="O23" s="18"/>
      <c r="P23" s="18"/>
      <c r="Q23" s="22"/>
      <c r="R23" s="18"/>
      <c r="S23" s="18"/>
      <c r="T23" s="18"/>
      <c r="U23" s="18"/>
      <c r="V23" s="18"/>
      <c r="W23" s="22"/>
      <c r="X23" s="22"/>
      <c r="Y23" s="18"/>
      <c r="Z23" s="18"/>
      <c r="AA23" s="18"/>
      <c r="AB23" s="18"/>
      <c r="AC23" s="18"/>
      <c r="AD23" s="22"/>
      <c r="AE23" s="18"/>
      <c r="AF23" s="18"/>
      <c r="AG23" s="18"/>
      <c r="AH23" s="18"/>
      <c r="AI23" s="22"/>
      <c r="AJ23" s="40"/>
      <c r="AK23" s="8">
        <f t="shared" si="4"/>
        <v>1</v>
      </c>
      <c r="AL23" s="9">
        <f t="shared" si="1"/>
        <v>70000</v>
      </c>
      <c r="AM23" s="10"/>
    </row>
    <row r="24" spans="1:39" ht="22.5" customHeight="1" x14ac:dyDescent="0.3">
      <c r="A24" s="1" t="s">
        <v>13</v>
      </c>
      <c r="B24" s="1" t="s">
        <v>14</v>
      </c>
      <c r="C24" s="7" t="s">
        <v>25</v>
      </c>
      <c r="D24" s="36"/>
      <c r="E24" s="22"/>
      <c r="F24" s="19" t="s">
        <v>21</v>
      </c>
      <c r="G24" s="19" t="s">
        <v>21</v>
      </c>
      <c r="H24" s="22"/>
      <c r="I24" s="23"/>
      <c r="J24" s="36"/>
      <c r="K24" s="22"/>
      <c r="L24" s="19" t="s">
        <v>21</v>
      </c>
      <c r="M24" s="19" t="s">
        <v>21</v>
      </c>
      <c r="N24" s="19" t="s">
        <v>21</v>
      </c>
      <c r="O24" s="19" t="s">
        <v>21</v>
      </c>
      <c r="P24" s="18"/>
      <c r="Q24" s="22"/>
      <c r="R24" s="19" t="s">
        <v>21</v>
      </c>
      <c r="S24" s="19" t="s">
        <v>21</v>
      </c>
      <c r="T24" s="32"/>
      <c r="U24" s="19" t="s">
        <v>21</v>
      </c>
      <c r="V24" s="18"/>
      <c r="W24" s="22"/>
      <c r="X24" s="23" t="s">
        <v>21</v>
      </c>
      <c r="Y24" s="19" t="s">
        <v>21</v>
      </c>
      <c r="Z24" s="19" t="s">
        <v>21</v>
      </c>
      <c r="AA24" s="19" t="s">
        <v>21</v>
      </c>
      <c r="AB24" s="18"/>
      <c r="AC24" s="18"/>
      <c r="AD24" s="22"/>
      <c r="AE24" s="18"/>
      <c r="AF24" s="18"/>
      <c r="AG24" s="18"/>
      <c r="AH24" s="19" t="s">
        <v>21</v>
      </c>
      <c r="AI24" s="22"/>
      <c r="AJ24" s="40"/>
      <c r="AK24" s="8">
        <f>COUNTA(D24:AJ24)</f>
        <v>14</v>
      </c>
      <c r="AL24" s="9">
        <f t="shared" si="1"/>
        <v>980000</v>
      </c>
      <c r="AM24" s="11"/>
    </row>
    <row r="25" spans="1:39" ht="22.5" customHeight="1" x14ac:dyDescent="0.3">
      <c r="A25" s="1" t="s">
        <v>9</v>
      </c>
      <c r="B25" s="1" t="s">
        <v>9</v>
      </c>
      <c r="C25" s="7" t="s">
        <v>24</v>
      </c>
      <c r="D25" s="36"/>
      <c r="E25" s="48" t="s">
        <v>21</v>
      </c>
      <c r="F25" s="44"/>
      <c r="G25" s="18"/>
      <c r="H25" s="50"/>
      <c r="I25" s="22"/>
      <c r="J25" s="36"/>
      <c r="K25" s="22"/>
      <c r="L25" s="18"/>
      <c r="M25" s="18"/>
      <c r="N25" s="18"/>
      <c r="O25" s="18"/>
      <c r="P25" s="18"/>
      <c r="Q25" s="22"/>
      <c r="R25" s="18"/>
      <c r="S25" s="27"/>
      <c r="T25" s="18"/>
      <c r="U25" s="18"/>
      <c r="V25" s="18"/>
      <c r="W25" s="22"/>
      <c r="X25" s="22"/>
      <c r="Y25" s="18"/>
      <c r="Z25" s="18"/>
      <c r="AA25" s="18"/>
      <c r="AB25" s="18"/>
      <c r="AC25" s="18"/>
      <c r="AD25" s="22"/>
      <c r="AE25" s="18"/>
      <c r="AF25" s="18"/>
      <c r="AG25" s="18"/>
      <c r="AH25" s="18"/>
      <c r="AI25" s="22"/>
      <c r="AJ25" s="40"/>
      <c r="AK25" s="8">
        <f>COUNTA(D25:AJ25)</f>
        <v>1</v>
      </c>
      <c r="AL25" s="9">
        <f t="shared" si="1"/>
        <v>70000</v>
      </c>
      <c r="AM25" s="11"/>
    </row>
    <row r="26" spans="1:39" ht="22.5" customHeight="1" x14ac:dyDescent="0.3">
      <c r="A26" s="1" t="s">
        <v>9</v>
      </c>
      <c r="B26" s="1" t="s">
        <v>9</v>
      </c>
      <c r="C26" s="7" t="s">
        <v>30</v>
      </c>
      <c r="D26" s="36"/>
      <c r="E26" s="22"/>
      <c r="F26" s="44"/>
      <c r="G26" s="18"/>
      <c r="H26" s="50"/>
      <c r="I26" s="22"/>
      <c r="J26" s="36"/>
      <c r="K26" s="22"/>
      <c r="L26" s="18"/>
      <c r="M26" s="19" t="s">
        <v>21</v>
      </c>
      <c r="N26" s="18"/>
      <c r="O26" s="18"/>
      <c r="P26" s="19" t="s">
        <v>21</v>
      </c>
      <c r="Q26" s="23" t="s">
        <v>21</v>
      </c>
      <c r="R26" s="18"/>
      <c r="S26" s="19" t="s">
        <v>21</v>
      </c>
      <c r="T26" s="18"/>
      <c r="U26" s="18"/>
      <c r="V26" s="18"/>
      <c r="W26" s="23" t="s">
        <v>21</v>
      </c>
      <c r="X26" s="23" t="s">
        <v>21</v>
      </c>
      <c r="Y26" s="18"/>
      <c r="Z26" s="19" t="s">
        <v>21</v>
      </c>
      <c r="AA26" s="19" t="s">
        <v>21</v>
      </c>
      <c r="AB26" s="19" t="s">
        <v>21</v>
      </c>
      <c r="AC26" s="19" t="s">
        <v>21</v>
      </c>
      <c r="AD26" s="23" t="s">
        <v>21</v>
      </c>
      <c r="AE26" s="18"/>
      <c r="AF26" s="18"/>
      <c r="AG26" s="18"/>
      <c r="AH26" s="18"/>
      <c r="AI26" s="23" t="s">
        <v>21</v>
      </c>
      <c r="AJ26" s="40"/>
      <c r="AK26" s="8">
        <f t="shared" ref="AK26:AK37" si="7">COUNTA(J26:AJ26)</f>
        <v>12</v>
      </c>
      <c r="AL26" s="9">
        <f t="shared" si="1"/>
        <v>840000</v>
      </c>
      <c r="AM26" s="11"/>
    </row>
    <row r="27" spans="1:39" ht="22.5" customHeight="1" x14ac:dyDescent="0.3">
      <c r="A27" s="1" t="s">
        <v>9</v>
      </c>
      <c r="B27" s="1" t="s">
        <v>9</v>
      </c>
      <c r="C27" s="7" t="s">
        <v>50</v>
      </c>
      <c r="D27" s="36"/>
      <c r="E27" s="22"/>
      <c r="F27" s="44"/>
      <c r="G27" s="18"/>
      <c r="H27" s="50"/>
      <c r="I27" s="22"/>
      <c r="J27" s="36"/>
      <c r="K27" s="22"/>
      <c r="L27" s="18"/>
      <c r="M27" s="19"/>
      <c r="N27" s="18"/>
      <c r="O27" s="18"/>
      <c r="P27" s="19"/>
      <c r="Q27" s="23"/>
      <c r="R27" s="18"/>
      <c r="S27" s="19"/>
      <c r="T27" s="18"/>
      <c r="U27" s="18"/>
      <c r="V27" s="18"/>
      <c r="W27" s="23"/>
      <c r="X27" s="23" t="s">
        <v>21</v>
      </c>
      <c r="Y27" s="18"/>
      <c r="Z27" s="19"/>
      <c r="AA27" s="18"/>
      <c r="AB27" s="18"/>
      <c r="AC27" s="18"/>
      <c r="AD27" s="22"/>
      <c r="AE27" s="18"/>
      <c r="AF27" s="18"/>
      <c r="AG27" s="18"/>
      <c r="AH27" s="18"/>
      <c r="AI27" s="22"/>
      <c r="AJ27" s="40"/>
      <c r="AK27" s="8">
        <f t="shared" si="7"/>
        <v>1</v>
      </c>
      <c r="AL27" s="9">
        <f t="shared" si="1"/>
        <v>70000</v>
      </c>
      <c r="AM27" s="11"/>
    </row>
    <row r="28" spans="1:39" ht="21.75" customHeight="1" x14ac:dyDescent="0.3">
      <c r="A28" s="1" t="s">
        <v>16</v>
      </c>
      <c r="B28" s="1" t="s">
        <v>17</v>
      </c>
      <c r="C28" s="12" t="s">
        <v>51</v>
      </c>
      <c r="D28" s="36"/>
      <c r="E28" s="22"/>
      <c r="F28" s="44"/>
      <c r="G28" s="18"/>
      <c r="H28" s="50"/>
      <c r="I28" s="22"/>
      <c r="J28" s="36"/>
      <c r="K28" s="22"/>
      <c r="L28" s="18"/>
      <c r="M28" s="18"/>
      <c r="N28" s="18"/>
      <c r="O28" s="18"/>
      <c r="P28" s="18"/>
      <c r="Q28" s="22"/>
      <c r="R28" s="18"/>
      <c r="S28" s="18"/>
      <c r="T28" s="18"/>
      <c r="U28" s="18"/>
      <c r="V28" s="18"/>
      <c r="W28" s="22"/>
      <c r="X28" s="23" t="s">
        <v>21</v>
      </c>
      <c r="Y28" s="18"/>
      <c r="Z28" s="19"/>
      <c r="AA28" s="18"/>
      <c r="AB28" s="18"/>
      <c r="AC28" s="18"/>
      <c r="AD28" s="22"/>
      <c r="AE28" s="18"/>
      <c r="AF28" s="18"/>
      <c r="AG28" s="18"/>
      <c r="AH28" s="18"/>
      <c r="AI28" s="22"/>
      <c r="AJ28" s="23" t="s">
        <v>21</v>
      </c>
      <c r="AK28" s="8">
        <f t="shared" si="7"/>
        <v>2</v>
      </c>
      <c r="AL28" s="9">
        <f t="shared" ref="AL28:AL32" si="8">AK28*70000</f>
        <v>140000</v>
      </c>
      <c r="AM28" s="11"/>
    </row>
    <row r="29" spans="1:39" ht="21.75" customHeight="1" x14ac:dyDescent="0.3">
      <c r="A29" s="1" t="s">
        <v>16</v>
      </c>
      <c r="B29" s="1" t="s">
        <v>17</v>
      </c>
      <c r="C29" s="12" t="s">
        <v>40</v>
      </c>
      <c r="D29" s="36"/>
      <c r="E29" s="22"/>
      <c r="F29" s="44"/>
      <c r="G29" s="18"/>
      <c r="H29" s="50"/>
      <c r="I29" s="22"/>
      <c r="J29" s="36"/>
      <c r="K29" s="22"/>
      <c r="L29" s="18"/>
      <c r="M29" s="18"/>
      <c r="N29" s="18"/>
      <c r="O29" s="18"/>
      <c r="P29" s="18"/>
      <c r="Q29" s="22"/>
      <c r="R29" s="18"/>
      <c r="S29" s="18"/>
      <c r="T29" s="18"/>
      <c r="U29" s="18"/>
      <c r="V29" s="18"/>
      <c r="W29" s="22"/>
      <c r="X29" s="22"/>
      <c r="Y29" s="18"/>
      <c r="Z29" s="19" t="s">
        <v>21</v>
      </c>
      <c r="AA29" s="18"/>
      <c r="AB29" s="18"/>
      <c r="AC29" s="18"/>
      <c r="AD29" s="22"/>
      <c r="AE29" s="18"/>
      <c r="AF29" s="18"/>
      <c r="AG29" s="18"/>
      <c r="AH29" s="18"/>
      <c r="AI29" s="22"/>
      <c r="AJ29" s="40"/>
      <c r="AK29" s="8">
        <f t="shared" si="7"/>
        <v>1</v>
      </c>
      <c r="AL29" s="9">
        <f t="shared" ref="AL29:AL31" si="9">AK29*70000</f>
        <v>70000</v>
      </c>
      <c r="AM29" s="11"/>
    </row>
    <row r="30" spans="1:39" ht="21.75" customHeight="1" x14ac:dyDescent="0.3">
      <c r="A30" s="1" t="s">
        <v>16</v>
      </c>
      <c r="B30" s="1" t="s">
        <v>17</v>
      </c>
      <c r="C30" s="12" t="s">
        <v>44</v>
      </c>
      <c r="D30" s="36"/>
      <c r="E30" s="22"/>
      <c r="F30" s="44"/>
      <c r="G30" s="18"/>
      <c r="H30" s="50"/>
      <c r="I30" s="22"/>
      <c r="J30" s="36"/>
      <c r="K30" s="22"/>
      <c r="L30" s="18"/>
      <c r="M30" s="18"/>
      <c r="N30" s="19" t="s">
        <v>21</v>
      </c>
      <c r="O30" s="18"/>
      <c r="P30" s="19" t="s">
        <v>21</v>
      </c>
      <c r="Q30" s="22"/>
      <c r="R30" s="18"/>
      <c r="S30" s="18"/>
      <c r="T30" s="19" t="s">
        <v>21</v>
      </c>
      <c r="U30" s="18"/>
      <c r="V30" s="18"/>
      <c r="W30" s="22"/>
      <c r="X30" s="22"/>
      <c r="Y30" s="18"/>
      <c r="Z30" s="19" t="s">
        <v>21</v>
      </c>
      <c r="AA30" s="18"/>
      <c r="AB30" s="18"/>
      <c r="AC30" s="18"/>
      <c r="AD30" s="22"/>
      <c r="AE30" s="18"/>
      <c r="AF30" s="19" t="s">
        <v>21</v>
      </c>
      <c r="AG30" s="18"/>
      <c r="AH30" s="18"/>
      <c r="AI30" s="22"/>
      <c r="AJ30" s="40"/>
      <c r="AK30" s="8">
        <f t="shared" si="7"/>
        <v>5</v>
      </c>
      <c r="AL30" s="9">
        <f t="shared" ref="AL30" si="10">AK30*70000</f>
        <v>350000</v>
      </c>
      <c r="AM30" s="11"/>
    </row>
    <row r="31" spans="1:39" ht="21.75" customHeight="1" x14ac:dyDescent="0.3">
      <c r="A31" s="1" t="s">
        <v>16</v>
      </c>
      <c r="B31" s="1" t="s">
        <v>17</v>
      </c>
      <c r="C31" s="12" t="s">
        <v>54</v>
      </c>
      <c r="D31" s="36"/>
      <c r="E31" s="22"/>
      <c r="F31" s="44"/>
      <c r="G31" s="18"/>
      <c r="H31" s="50"/>
      <c r="I31" s="22"/>
      <c r="J31" s="36"/>
      <c r="K31" s="22"/>
      <c r="L31" s="18"/>
      <c r="M31" s="18"/>
      <c r="N31" s="19"/>
      <c r="O31" s="18"/>
      <c r="P31" s="19"/>
      <c r="Q31" s="22"/>
      <c r="R31" s="18"/>
      <c r="S31" s="18"/>
      <c r="T31" s="19"/>
      <c r="U31" s="18"/>
      <c r="V31" s="18"/>
      <c r="W31" s="22"/>
      <c r="X31" s="22"/>
      <c r="Y31" s="18"/>
      <c r="Z31" s="19"/>
      <c r="AA31" s="18"/>
      <c r="AB31" s="18"/>
      <c r="AC31" s="18"/>
      <c r="AD31" s="22"/>
      <c r="AE31" s="18"/>
      <c r="AF31" s="19" t="s">
        <v>21</v>
      </c>
      <c r="AG31" s="18"/>
      <c r="AH31" s="18"/>
      <c r="AI31" s="22"/>
      <c r="AJ31" s="40"/>
      <c r="AK31" s="8">
        <f t="shared" si="7"/>
        <v>1</v>
      </c>
      <c r="AL31" s="9">
        <f t="shared" si="9"/>
        <v>70000</v>
      </c>
      <c r="AM31" s="11"/>
    </row>
    <row r="32" spans="1:39" ht="21.75" customHeight="1" x14ac:dyDescent="0.3">
      <c r="A32" s="1" t="s">
        <v>16</v>
      </c>
      <c r="B32" s="1" t="s">
        <v>17</v>
      </c>
      <c r="C32" s="12" t="s">
        <v>52</v>
      </c>
      <c r="D32" s="36"/>
      <c r="E32" s="22"/>
      <c r="F32" s="44"/>
      <c r="G32" s="18"/>
      <c r="H32" s="50"/>
      <c r="I32" s="22"/>
      <c r="J32" s="36"/>
      <c r="K32" s="22"/>
      <c r="L32" s="18"/>
      <c r="M32" s="18"/>
      <c r="N32" s="19"/>
      <c r="O32" s="18"/>
      <c r="P32" s="19"/>
      <c r="Q32" s="22"/>
      <c r="R32" s="18"/>
      <c r="S32" s="18"/>
      <c r="T32" s="19"/>
      <c r="U32" s="18"/>
      <c r="V32" s="18"/>
      <c r="W32" s="22"/>
      <c r="X32" s="22"/>
      <c r="Y32" s="18"/>
      <c r="Z32" s="19"/>
      <c r="AA32" s="18"/>
      <c r="AB32" s="18"/>
      <c r="AC32" s="18"/>
      <c r="AD32" s="22"/>
      <c r="AE32" s="18"/>
      <c r="AF32" s="19" t="s">
        <v>21</v>
      </c>
      <c r="AG32" s="18"/>
      <c r="AH32" s="19" t="s">
        <v>21</v>
      </c>
      <c r="AI32" s="22"/>
      <c r="AJ32" s="40"/>
      <c r="AK32" s="8">
        <f t="shared" si="7"/>
        <v>2</v>
      </c>
      <c r="AL32" s="9">
        <f t="shared" si="8"/>
        <v>140000</v>
      </c>
      <c r="AM32" s="11"/>
    </row>
    <row r="33" spans="1:39" ht="23.1" customHeight="1" x14ac:dyDescent="0.3">
      <c r="A33" s="1" t="s">
        <v>16</v>
      </c>
      <c r="B33" s="1" t="s">
        <v>17</v>
      </c>
      <c r="C33" s="12" t="s">
        <v>35</v>
      </c>
      <c r="D33" s="36"/>
      <c r="E33" s="22"/>
      <c r="F33" s="44"/>
      <c r="G33" s="18"/>
      <c r="H33" s="50"/>
      <c r="I33" s="22"/>
      <c r="J33" s="36"/>
      <c r="K33" s="22"/>
      <c r="L33" s="18"/>
      <c r="M33" s="18"/>
      <c r="N33" s="18"/>
      <c r="O33" s="18"/>
      <c r="P33" s="18"/>
      <c r="Q33" s="22"/>
      <c r="R33" s="18"/>
      <c r="S33" s="18"/>
      <c r="T33" s="18"/>
      <c r="U33" s="18"/>
      <c r="V33" s="18"/>
      <c r="W33" s="22"/>
      <c r="X33" s="23" t="s">
        <v>21</v>
      </c>
      <c r="Y33" s="18"/>
      <c r="Z33" s="18"/>
      <c r="AA33" s="18"/>
      <c r="AB33" s="18"/>
      <c r="AC33" s="18"/>
      <c r="AD33" s="22"/>
      <c r="AE33" s="18"/>
      <c r="AF33" s="18"/>
      <c r="AG33" s="18"/>
      <c r="AH33" s="18"/>
      <c r="AI33" s="22"/>
      <c r="AJ33" s="23" t="s">
        <v>21</v>
      </c>
      <c r="AK33" s="8">
        <f t="shared" si="7"/>
        <v>2</v>
      </c>
      <c r="AL33" s="9">
        <f t="shared" ref="AL33" si="11">AK33*70000</f>
        <v>140000</v>
      </c>
      <c r="AM33" s="11"/>
    </row>
    <row r="34" spans="1:39" ht="23.1" customHeight="1" x14ac:dyDescent="0.3">
      <c r="A34" s="1" t="s">
        <v>18</v>
      </c>
      <c r="B34" s="1" t="s">
        <v>18</v>
      </c>
      <c r="C34" s="7" t="s">
        <v>22</v>
      </c>
      <c r="D34" s="36"/>
      <c r="E34" s="22"/>
      <c r="F34" s="44"/>
      <c r="G34" s="18"/>
      <c r="H34" s="50"/>
      <c r="I34" s="22"/>
      <c r="J34" s="36"/>
      <c r="K34" s="22"/>
      <c r="L34" s="18"/>
      <c r="M34" s="18"/>
      <c r="N34" s="18"/>
      <c r="O34" s="18"/>
      <c r="P34" s="18"/>
      <c r="Q34" s="22"/>
      <c r="R34" s="18"/>
      <c r="S34" s="18"/>
      <c r="T34" s="18"/>
      <c r="U34" s="18"/>
      <c r="V34" s="18"/>
      <c r="W34" s="23" t="s">
        <v>21</v>
      </c>
      <c r="X34" s="23" t="s">
        <v>21</v>
      </c>
      <c r="Y34" s="18"/>
      <c r="Z34" s="19" t="s">
        <v>21</v>
      </c>
      <c r="AA34" s="18"/>
      <c r="AB34" s="18"/>
      <c r="AC34" s="18"/>
      <c r="AD34" s="22"/>
      <c r="AE34" s="18"/>
      <c r="AF34" s="18"/>
      <c r="AG34" s="18"/>
      <c r="AH34" s="18"/>
      <c r="AI34" s="22"/>
      <c r="AJ34" s="40"/>
      <c r="AK34" s="8">
        <f t="shared" si="7"/>
        <v>3</v>
      </c>
      <c r="AL34" s="9">
        <f t="shared" si="1"/>
        <v>210000</v>
      </c>
      <c r="AM34" s="11"/>
    </row>
    <row r="35" spans="1:39" ht="23.1" customHeight="1" x14ac:dyDescent="0.3">
      <c r="A35" s="1" t="s">
        <v>15</v>
      </c>
      <c r="B35" s="1" t="s">
        <v>15</v>
      </c>
      <c r="C35" s="7" t="s">
        <v>5</v>
      </c>
      <c r="D35" s="36"/>
      <c r="E35" s="22"/>
      <c r="F35" s="44"/>
      <c r="G35" s="18"/>
      <c r="H35" s="50"/>
      <c r="I35" s="22"/>
      <c r="J35" s="36"/>
      <c r="K35" s="22"/>
      <c r="L35" s="18"/>
      <c r="M35" s="19" t="s">
        <v>21</v>
      </c>
      <c r="N35" s="19" t="s">
        <v>21</v>
      </c>
      <c r="O35" s="19" t="s">
        <v>21</v>
      </c>
      <c r="P35" s="18"/>
      <c r="Q35" s="22"/>
      <c r="R35" s="19" t="s">
        <v>21</v>
      </c>
      <c r="S35" s="19" t="s">
        <v>21</v>
      </c>
      <c r="T35" s="19" t="s">
        <v>21</v>
      </c>
      <c r="U35" s="18"/>
      <c r="V35" s="19" t="s">
        <v>21</v>
      </c>
      <c r="W35" s="22"/>
      <c r="X35" s="22"/>
      <c r="Y35" s="18"/>
      <c r="Z35" s="19" t="s">
        <v>21</v>
      </c>
      <c r="AA35" s="19" t="s">
        <v>21</v>
      </c>
      <c r="AB35" s="19" t="s">
        <v>21</v>
      </c>
      <c r="AC35" s="18"/>
      <c r="AD35" s="22"/>
      <c r="AE35" s="18"/>
      <c r="AF35" s="19" t="s">
        <v>21</v>
      </c>
      <c r="AG35" s="19" t="s">
        <v>21</v>
      </c>
      <c r="AH35" s="18"/>
      <c r="AI35" s="22"/>
      <c r="AJ35" s="40"/>
      <c r="AK35" s="8">
        <f t="shared" si="7"/>
        <v>12</v>
      </c>
      <c r="AL35" s="9">
        <f t="shared" si="1"/>
        <v>840000</v>
      </c>
      <c r="AM35" s="11"/>
    </row>
    <row r="36" spans="1:39" ht="23.1" customHeight="1" x14ac:dyDescent="0.3">
      <c r="A36" s="1" t="s">
        <v>9</v>
      </c>
      <c r="B36" s="1" t="s">
        <v>9</v>
      </c>
      <c r="C36" s="7" t="s">
        <v>4</v>
      </c>
      <c r="D36" s="36"/>
      <c r="E36" s="22"/>
      <c r="F36" s="44"/>
      <c r="G36" s="18"/>
      <c r="H36" s="50"/>
      <c r="I36" s="22"/>
      <c r="J36" s="36"/>
      <c r="K36" s="22"/>
      <c r="L36" s="18"/>
      <c r="M36" s="18"/>
      <c r="N36" s="18"/>
      <c r="O36" s="18"/>
      <c r="P36" s="18"/>
      <c r="Q36" s="22"/>
      <c r="R36" s="18"/>
      <c r="S36" s="18"/>
      <c r="T36" s="18"/>
      <c r="U36" s="18"/>
      <c r="V36" s="19" t="s">
        <v>21</v>
      </c>
      <c r="W36" s="22"/>
      <c r="X36" s="22"/>
      <c r="Y36" s="19" t="s">
        <v>21</v>
      </c>
      <c r="Z36" s="19" t="s">
        <v>21</v>
      </c>
      <c r="AA36" s="19" t="s">
        <v>21</v>
      </c>
      <c r="AB36" s="19" t="s">
        <v>21</v>
      </c>
      <c r="AC36" s="18"/>
      <c r="AD36" s="22"/>
      <c r="AE36" s="19" t="s">
        <v>21</v>
      </c>
      <c r="AF36" s="19" t="s">
        <v>21</v>
      </c>
      <c r="AG36" s="19" t="s">
        <v>21</v>
      </c>
      <c r="AH36" s="18"/>
      <c r="AI36" s="22"/>
      <c r="AJ36" s="40"/>
      <c r="AK36" s="8">
        <f t="shared" si="7"/>
        <v>8</v>
      </c>
      <c r="AL36" s="9">
        <f t="shared" ref="AL36" si="12">AK36*70000</f>
        <v>560000</v>
      </c>
      <c r="AM36" s="11"/>
    </row>
    <row r="37" spans="1:39" ht="21.75" customHeight="1" x14ac:dyDescent="0.3">
      <c r="A37" s="1" t="s">
        <v>9</v>
      </c>
      <c r="B37" s="1" t="s">
        <v>9</v>
      </c>
      <c r="C37" s="12" t="s">
        <v>19</v>
      </c>
      <c r="D37" s="36"/>
      <c r="E37" s="22"/>
      <c r="F37" s="44"/>
      <c r="G37" s="18"/>
      <c r="H37" s="50"/>
      <c r="I37" s="22"/>
      <c r="J37" s="36"/>
      <c r="K37" s="23" t="s">
        <v>21</v>
      </c>
      <c r="L37" s="18"/>
      <c r="M37" s="19" t="s">
        <v>21</v>
      </c>
      <c r="N37" s="18"/>
      <c r="O37" s="19" t="s">
        <v>21</v>
      </c>
      <c r="P37" s="19" t="s">
        <v>21</v>
      </c>
      <c r="Q37" s="22"/>
      <c r="R37" s="18"/>
      <c r="S37" s="18"/>
      <c r="T37" s="19" t="s">
        <v>21</v>
      </c>
      <c r="U37" s="18"/>
      <c r="V37" s="19" t="s">
        <v>21</v>
      </c>
      <c r="W37" s="23" t="s">
        <v>21</v>
      </c>
      <c r="X37" s="22"/>
      <c r="Y37" s="18"/>
      <c r="Z37" s="18"/>
      <c r="AA37" s="18"/>
      <c r="AB37" s="19" t="s">
        <v>21</v>
      </c>
      <c r="AC37" s="19" t="s">
        <v>21</v>
      </c>
      <c r="AD37" s="22"/>
      <c r="AE37" s="18"/>
      <c r="AF37" s="18"/>
      <c r="AG37" s="18"/>
      <c r="AH37" s="18"/>
      <c r="AI37" s="23" t="s">
        <v>21</v>
      </c>
      <c r="AJ37" s="40"/>
      <c r="AK37" s="8">
        <f t="shared" si="7"/>
        <v>10</v>
      </c>
      <c r="AL37" s="9">
        <f t="shared" ref="AL37:AL39" si="13">AK37*70000</f>
        <v>700000</v>
      </c>
      <c r="AM37" s="11"/>
    </row>
    <row r="38" spans="1:39" ht="23.1" customHeight="1" x14ac:dyDescent="0.3">
      <c r="A38" s="1" t="s">
        <v>16</v>
      </c>
      <c r="B38" s="1" t="s">
        <v>17</v>
      </c>
      <c r="C38" s="13" t="s">
        <v>48</v>
      </c>
      <c r="D38" s="36"/>
      <c r="E38" s="22"/>
      <c r="F38" s="44"/>
      <c r="G38" s="18"/>
      <c r="H38" s="50"/>
      <c r="I38" s="23" t="s">
        <v>21</v>
      </c>
      <c r="J38" s="36"/>
      <c r="K38" s="22"/>
      <c r="L38" s="20"/>
      <c r="M38" s="18"/>
      <c r="N38" s="18"/>
      <c r="O38" s="18"/>
      <c r="P38" s="18"/>
      <c r="Q38" s="22"/>
      <c r="R38" s="18"/>
      <c r="S38" s="18"/>
      <c r="T38" s="18"/>
      <c r="U38" s="18"/>
      <c r="V38" s="18"/>
      <c r="W38" s="24"/>
      <c r="X38" s="22"/>
      <c r="Y38" s="20"/>
      <c r="Z38" s="18"/>
      <c r="AA38" s="19" t="s">
        <v>21</v>
      </c>
      <c r="AB38" s="20"/>
      <c r="AC38" s="18"/>
      <c r="AD38" s="22"/>
      <c r="AE38" s="18"/>
      <c r="AF38" s="18"/>
      <c r="AG38" s="18"/>
      <c r="AH38" s="18"/>
      <c r="AI38" s="22"/>
      <c r="AJ38" s="40"/>
      <c r="AK38" s="8">
        <f>COUNTA(D38:AJ38)</f>
        <v>2</v>
      </c>
      <c r="AL38" s="9">
        <f t="shared" si="13"/>
        <v>140000</v>
      </c>
      <c r="AM38" s="11"/>
    </row>
    <row r="39" spans="1:39" ht="23.1" customHeight="1" x14ac:dyDescent="0.3">
      <c r="A39" s="1" t="s">
        <v>16</v>
      </c>
      <c r="B39" s="1" t="s">
        <v>17</v>
      </c>
      <c r="C39" s="13" t="s">
        <v>46</v>
      </c>
      <c r="D39" s="36"/>
      <c r="E39" s="22"/>
      <c r="F39" s="44"/>
      <c r="G39" s="18"/>
      <c r="H39" s="50"/>
      <c r="I39" s="22"/>
      <c r="J39" s="36"/>
      <c r="K39" s="22"/>
      <c r="L39" s="20"/>
      <c r="M39" s="18"/>
      <c r="N39" s="18"/>
      <c r="O39" s="18"/>
      <c r="P39" s="18"/>
      <c r="Q39" s="22"/>
      <c r="R39" s="18"/>
      <c r="S39" s="18"/>
      <c r="T39" s="18"/>
      <c r="U39" s="18"/>
      <c r="V39" s="18"/>
      <c r="W39" s="24"/>
      <c r="X39" s="23" t="s">
        <v>21</v>
      </c>
      <c r="Y39" s="20"/>
      <c r="Z39" s="18"/>
      <c r="AA39" s="20"/>
      <c r="AB39" s="20"/>
      <c r="AC39" s="18"/>
      <c r="AD39" s="22"/>
      <c r="AE39" s="18"/>
      <c r="AF39" s="18"/>
      <c r="AG39" s="18"/>
      <c r="AH39" s="18"/>
      <c r="AI39" s="22"/>
      <c r="AJ39" s="23" t="s">
        <v>21</v>
      </c>
      <c r="AK39" s="8">
        <f>COUNTA(J39:AJ39)</f>
        <v>2</v>
      </c>
      <c r="AL39" s="9">
        <f t="shared" si="13"/>
        <v>140000</v>
      </c>
      <c r="AM39" s="11"/>
    </row>
    <row r="40" spans="1:39" ht="23.1" customHeight="1" x14ac:dyDescent="0.3">
      <c r="A40" s="1" t="s">
        <v>16</v>
      </c>
      <c r="B40" s="1" t="s">
        <v>17</v>
      </c>
      <c r="C40" s="13" t="s">
        <v>56</v>
      </c>
      <c r="D40" s="36"/>
      <c r="E40" s="22"/>
      <c r="F40" s="44"/>
      <c r="G40" s="18"/>
      <c r="H40" s="50"/>
      <c r="I40" s="22"/>
      <c r="J40" s="36"/>
      <c r="K40" s="22"/>
      <c r="L40" s="19" t="s">
        <v>21</v>
      </c>
      <c r="M40" s="19" t="s">
        <v>21</v>
      </c>
      <c r="N40" s="18"/>
      <c r="O40" s="18"/>
      <c r="P40" s="18"/>
      <c r="Q40" s="22"/>
      <c r="R40" s="18"/>
      <c r="S40" s="18"/>
      <c r="T40" s="18"/>
      <c r="U40" s="18"/>
      <c r="V40" s="19" t="s">
        <v>21</v>
      </c>
      <c r="W40" s="24"/>
      <c r="X40" s="23" t="s">
        <v>21</v>
      </c>
      <c r="Y40" s="20"/>
      <c r="Z40" s="18"/>
      <c r="AA40" s="20"/>
      <c r="AB40" s="19" t="s">
        <v>21</v>
      </c>
      <c r="AC40" s="19" t="s">
        <v>21</v>
      </c>
      <c r="AD40" s="22"/>
      <c r="AE40" s="19" t="s">
        <v>21</v>
      </c>
      <c r="AF40" s="18"/>
      <c r="AG40" s="18"/>
      <c r="AH40" s="19" t="s">
        <v>21</v>
      </c>
      <c r="AI40" s="22"/>
      <c r="AJ40" s="23"/>
      <c r="AK40" s="8">
        <f>COUNTA(J40:AJ40)</f>
        <v>8</v>
      </c>
      <c r="AL40" s="9">
        <f t="shared" si="1"/>
        <v>560000</v>
      </c>
      <c r="AM40" s="11"/>
    </row>
    <row r="41" spans="1:39" ht="23.1" customHeight="1" x14ac:dyDescent="0.3">
      <c r="A41" s="1" t="s">
        <v>16</v>
      </c>
      <c r="B41" s="1" t="s">
        <v>17</v>
      </c>
      <c r="C41" s="13" t="s">
        <v>28</v>
      </c>
      <c r="D41" s="37"/>
      <c r="E41" s="22"/>
      <c r="F41" s="46"/>
      <c r="G41" s="18"/>
      <c r="H41" s="53"/>
      <c r="I41" s="40"/>
      <c r="J41" s="23" t="s">
        <v>21</v>
      </c>
      <c r="K41" s="22"/>
      <c r="L41" s="18"/>
      <c r="M41" s="20"/>
      <c r="N41" s="20"/>
      <c r="O41" s="20"/>
      <c r="P41" s="18"/>
      <c r="Q41" s="23" t="s">
        <v>21</v>
      </c>
      <c r="R41" s="18"/>
      <c r="S41" s="18"/>
      <c r="T41" s="18"/>
      <c r="U41" s="20"/>
      <c r="V41" s="20"/>
      <c r="W41" s="22"/>
      <c r="X41" s="22"/>
      <c r="Y41" s="18"/>
      <c r="Z41" s="18"/>
      <c r="AA41" s="18"/>
      <c r="AB41" s="18"/>
      <c r="AC41" s="18"/>
      <c r="AD41" s="22"/>
      <c r="AE41" s="18"/>
      <c r="AF41" s="18"/>
      <c r="AG41" s="18"/>
      <c r="AH41" s="18"/>
      <c r="AI41" s="22"/>
      <c r="AJ41" s="40"/>
      <c r="AK41" s="8">
        <f>COUNTA(J41:AJ41)</f>
        <v>2</v>
      </c>
      <c r="AL41" s="9">
        <f t="shared" ref="AL41:AL42" si="14">AK41*70000</f>
        <v>140000</v>
      </c>
      <c r="AM41" s="11"/>
    </row>
    <row r="42" spans="1:39" ht="23.1" customHeight="1" x14ac:dyDescent="0.3">
      <c r="A42" s="1" t="s">
        <v>16</v>
      </c>
      <c r="B42" s="1" t="s">
        <v>17</v>
      </c>
      <c r="C42" s="13" t="s">
        <v>39</v>
      </c>
      <c r="D42" s="37"/>
      <c r="E42" s="22"/>
      <c r="F42" s="46"/>
      <c r="G42" s="18"/>
      <c r="H42" s="53"/>
      <c r="I42" s="22"/>
      <c r="J42" s="37"/>
      <c r="K42" s="22"/>
      <c r="L42" s="18"/>
      <c r="M42" s="20"/>
      <c r="N42" s="20"/>
      <c r="O42" s="20"/>
      <c r="P42" s="18"/>
      <c r="Q42" s="24"/>
      <c r="R42" s="18"/>
      <c r="S42" s="18"/>
      <c r="T42" s="18"/>
      <c r="U42" s="20"/>
      <c r="V42" s="20"/>
      <c r="W42" s="22"/>
      <c r="X42" s="22"/>
      <c r="Y42" s="18"/>
      <c r="Z42" s="18"/>
      <c r="AA42" s="18"/>
      <c r="AB42" s="18"/>
      <c r="AC42" s="18"/>
      <c r="AD42" s="22"/>
      <c r="AE42" s="18"/>
      <c r="AF42" s="19" t="s">
        <v>21</v>
      </c>
      <c r="AG42" s="18"/>
      <c r="AH42" s="18"/>
      <c r="AI42" s="22"/>
      <c r="AJ42" s="40"/>
      <c r="AK42" s="8">
        <f t="shared" ref="AK42" si="15">COUNTA(J42:AJ42)</f>
        <v>1</v>
      </c>
      <c r="AL42" s="9">
        <f t="shared" si="14"/>
        <v>70000</v>
      </c>
      <c r="AM42" s="11"/>
    </row>
    <row r="43" spans="1:39" ht="23.1" customHeight="1" x14ac:dyDescent="0.3">
      <c r="A43" s="1" t="s">
        <v>16</v>
      </c>
      <c r="B43" s="1" t="s">
        <v>17</v>
      </c>
      <c r="C43" s="13" t="s">
        <v>47</v>
      </c>
      <c r="D43" s="37"/>
      <c r="E43" s="22"/>
      <c r="F43" s="46"/>
      <c r="G43" s="18"/>
      <c r="H43" s="53"/>
      <c r="I43" s="22"/>
      <c r="J43" s="37"/>
      <c r="K43" s="22"/>
      <c r="L43" s="18"/>
      <c r="M43" s="20"/>
      <c r="N43" s="20"/>
      <c r="O43" s="20"/>
      <c r="P43" s="18"/>
      <c r="Q43" s="24"/>
      <c r="R43" s="18"/>
      <c r="S43" s="18"/>
      <c r="T43" s="18"/>
      <c r="U43" s="20"/>
      <c r="V43" s="20"/>
      <c r="W43" s="22"/>
      <c r="X43" s="23" t="s">
        <v>21</v>
      </c>
      <c r="Y43" s="18"/>
      <c r="Z43" s="18"/>
      <c r="AA43" s="18"/>
      <c r="AB43" s="18"/>
      <c r="AC43" s="18"/>
      <c r="AD43" s="22"/>
      <c r="AE43" s="18"/>
      <c r="AF43" s="18"/>
      <c r="AG43" s="18"/>
      <c r="AH43" s="18"/>
      <c r="AI43" s="22"/>
      <c r="AJ43" s="23" t="s">
        <v>21</v>
      </c>
      <c r="AK43" s="8">
        <f>COUNTA(J43:AJ43)</f>
        <v>2</v>
      </c>
      <c r="AL43" s="9">
        <f t="shared" si="1"/>
        <v>140000</v>
      </c>
      <c r="AM43" s="11"/>
    </row>
    <row r="44" spans="1:39" ht="23.1" customHeight="1" thickBot="1" x14ac:dyDescent="0.35">
      <c r="A44" s="1" t="s">
        <v>16</v>
      </c>
      <c r="B44" s="1" t="s">
        <v>17</v>
      </c>
      <c r="C44" s="13" t="s">
        <v>29</v>
      </c>
      <c r="D44" s="42" t="s">
        <v>21</v>
      </c>
      <c r="E44" s="30"/>
      <c r="F44" s="47"/>
      <c r="G44" s="28"/>
      <c r="H44" s="54"/>
      <c r="I44" s="30"/>
      <c r="J44" s="38"/>
      <c r="K44" s="30"/>
      <c r="L44" s="29"/>
      <c r="M44" s="28"/>
      <c r="N44" s="29"/>
      <c r="O44" s="29"/>
      <c r="P44" s="28"/>
      <c r="Q44" s="31"/>
      <c r="R44" s="28"/>
      <c r="S44" s="28"/>
      <c r="T44" s="19" t="s">
        <v>21</v>
      </c>
      <c r="U44" s="28"/>
      <c r="V44" s="29"/>
      <c r="W44" s="30"/>
      <c r="X44" s="31"/>
      <c r="Y44" s="28"/>
      <c r="Z44" s="29"/>
      <c r="AA44" s="29"/>
      <c r="AB44" s="29"/>
      <c r="AC44" s="29"/>
      <c r="AD44" s="31"/>
      <c r="AE44" s="29"/>
      <c r="AF44" s="19" t="s">
        <v>21</v>
      </c>
      <c r="AG44" s="29"/>
      <c r="AH44" s="19" t="s">
        <v>21</v>
      </c>
      <c r="AI44" s="31"/>
      <c r="AJ44" s="41"/>
      <c r="AK44" s="14">
        <f>COUNTA(D44:AJ44)</f>
        <v>4</v>
      </c>
      <c r="AL44" s="9">
        <f t="shared" si="1"/>
        <v>280000</v>
      </c>
      <c r="AM44" s="11"/>
    </row>
    <row r="45" spans="1:39" ht="23.1" customHeight="1" thickBot="1" x14ac:dyDescent="0.35">
      <c r="C45" s="56" t="s">
        <v>20</v>
      </c>
      <c r="D45" s="57"/>
      <c r="E45" s="57"/>
      <c r="F45" s="57"/>
      <c r="G45" s="57"/>
      <c r="H45" s="57"/>
      <c r="I45" s="57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15">
        <f>SUM(AK9:AK44)</f>
        <v>131</v>
      </c>
      <c r="AL45" s="16">
        <f>SUM(AL9:AL44)</f>
        <v>9170000</v>
      </c>
      <c r="AM45" s="17"/>
    </row>
    <row r="47" spans="1:39" x14ac:dyDescent="0.3">
      <c r="C47" s="3" t="s">
        <v>23</v>
      </c>
    </row>
    <row r="48" spans="1:39" ht="14.25" x14ac:dyDescent="0.3">
      <c r="C48" s="3" t="s">
        <v>12</v>
      </c>
      <c r="D48" s="19" t="s">
        <v>21</v>
      </c>
      <c r="F48" s="19" t="s">
        <v>21</v>
      </c>
      <c r="H48" s="19" t="s">
        <v>21</v>
      </c>
      <c r="J48" s="19" t="s">
        <v>21</v>
      </c>
    </row>
  </sheetData>
  <mergeCells count="9">
    <mergeCell ref="C45:AJ45"/>
    <mergeCell ref="A1:AM6"/>
    <mergeCell ref="A7:A8"/>
    <mergeCell ref="B7:B8"/>
    <mergeCell ref="C7:C8"/>
    <mergeCell ref="AL7:AL8"/>
    <mergeCell ref="AM7:AM8"/>
    <mergeCell ref="D7:I7"/>
    <mergeCell ref="J7:AK7"/>
  </mergeCells>
  <phoneticPr fontId="23" type="noConversion"/>
  <printOptions horizontalCentered="1"/>
  <pageMargins left="0.25" right="0.25" top="0.75" bottom="0.75" header="0.3" footer="0.3"/>
  <pageSetup paperSize="9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9"/>
  <sheetViews>
    <sheetView workbookViewId="0">
      <selection activeCell="B2" sqref="B2:B3"/>
    </sheetView>
  </sheetViews>
  <sheetFormatPr defaultRowHeight="16.5" x14ac:dyDescent="0.3"/>
  <cols>
    <col min="2" max="3" width="10.625" customWidth="1"/>
  </cols>
  <sheetData>
    <row r="1" spans="2:3" ht="17.25" thickBot="1" x14ac:dyDescent="0.35"/>
    <row r="2" spans="2:3" x14ac:dyDescent="0.3">
      <c r="B2" s="73" t="s">
        <v>57</v>
      </c>
      <c r="C2" s="74" t="s">
        <v>134</v>
      </c>
    </row>
    <row r="3" spans="2:3" ht="17.25" thickBot="1" x14ac:dyDescent="0.35">
      <c r="B3" s="75"/>
      <c r="C3" s="76"/>
    </row>
    <row r="4" spans="2:3" ht="17.25" thickTop="1" x14ac:dyDescent="0.3">
      <c r="B4" s="77" t="s">
        <v>58</v>
      </c>
      <c r="C4" s="78">
        <v>12657.48031496063</v>
      </c>
    </row>
    <row r="5" spans="2:3" x14ac:dyDescent="0.3">
      <c r="B5" s="79" t="s">
        <v>59</v>
      </c>
      <c r="C5" s="80">
        <v>17086.614173228347</v>
      </c>
    </row>
    <row r="6" spans="2:3" x14ac:dyDescent="0.3">
      <c r="B6" s="79" t="s">
        <v>60</v>
      </c>
      <c r="C6" s="80">
        <v>19068.241469816272</v>
      </c>
    </row>
    <row r="7" spans="2:3" x14ac:dyDescent="0.3">
      <c r="B7" s="79" t="s">
        <v>61</v>
      </c>
      <c r="C7" s="80">
        <v>19819.553805774278</v>
      </c>
    </row>
    <row r="8" spans="2:3" x14ac:dyDescent="0.3">
      <c r="B8" s="79" t="s">
        <v>62</v>
      </c>
      <c r="C8" s="80">
        <v>23605.643044619421</v>
      </c>
    </row>
    <row r="9" spans="2:3" x14ac:dyDescent="0.3">
      <c r="B9" s="79" t="s">
        <v>63</v>
      </c>
      <c r="C9" s="80">
        <v>11276.246719160104</v>
      </c>
    </row>
    <row r="10" spans="2:3" x14ac:dyDescent="0.3">
      <c r="B10" s="79" t="s">
        <v>64</v>
      </c>
      <c r="C10" s="80">
        <v>23851.706036745407</v>
      </c>
    </row>
    <row r="11" spans="2:3" x14ac:dyDescent="0.3">
      <c r="B11" s="79" t="s">
        <v>65</v>
      </c>
      <c r="C11" s="80">
        <v>19189.63254593176</v>
      </c>
    </row>
    <row r="12" spans="2:3" x14ac:dyDescent="0.3">
      <c r="B12" s="79" t="s">
        <v>66</v>
      </c>
      <c r="C12" s="80">
        <v>25288.713910761155</v>
      </c>
    </row>
    <row r="13" spans="2:3" x14ac:dyDescent="0.3">
      <c r="B13" s="79" t="s">
        <v>67</v>
      </c>
      <c r="C13" s="80">
        <v>12221.128608923884</v>
      </c>
    </row>
    <row r="14" spans="2:3" x14ac:dyDescent="0.3">
      <c r="B14" s="79" t="s">
        <v>68</v>
      </c>
      <c r="C14" s="80">
        <v>20964.56692913386</v>
      </c>
    </row>
    <row r="15" spans="2:3" x14ac:dyDescent="0.3">
      <c r="B15" s="79" t="s">
        <v>69</v>
      </c>
      <c r="C15" s="80">
        <v>12814.960629921259</v>
      </c>
    </row>
    <row r="16" spans="2:3" x14ac:dyDescent="0.3">
      <c r="B16" s="79" t="s">
        <v>70</v>
      </c>
      <c r="C16" s="80">
        <v>22791.994750656169</v>
      </c>
    </row>
    <row r="17" spans="2:3" x14ac:dyDescent="0.3">
      <c r="B17" s="79" t="s">
        <v>71</v>
      </c>
      <c r="C17" s="80">
        <v>20846.456692913387</v>
      </c>
    </row>
    <row r="18" spans="2:3" x14ac:dyDescent="0.3">
      <c r="B18" s="79" t="s">
        <v>72</v>
      </c>
      <c r="C18" s="80">
        <v>12139.107611548558</v>
      </c>
    </row>
    <row r="19" spans="2:3" x14ac:dyDescent="0.3">
      <c r="B19" s="79" t="s">
        <v>73</v>
      </c>
      <c r="C19" s="80">
        <v>14294.619422572179</v>
      </c>
    </row>
    <row r="20" spans="2:3" x14ac:dyDescent="0.3">
      <c r="B20" s="79" t="s">
        <v>74</v>
      </c>
      <c r="C20" s="80">
        <v>26332.020997375326</v>
      </c>
    </row>
    <row r="21" spans="2:3" x14ac:dyDescent="0.3">
      <c r="B21" s="79" t="s">
        <v>75</v>
      </c>
      <c r="C21" s="80">
        <v>13733.595800524936</v>
      </c>
    </row>
    <row r="22" spans="2:3" x14ac:dyDescent="0.3">
      <c r="B22" s="79" t="s">
        <v>76</v>
      </c>
      <c r="C22" s="80">
        <v>11154.855643044621</v>
      </c>
    </row>
    <row r="23" spans="2:3" x14ac:dyDescent="0.3">
      <c r="B23" s="79" t="s">
        <v>77</v>
      </c>
      <c r="C23" s="80">
        <v>12519.685039370079</v>
      </c>
    </row>
    <row r="24" spans="2:3" x14ac:dyDescent="0.3">
      <c r="B24" s="79" t="s">
        <v>78</v>
      </c>
      <c r="C24" s="80">
        <v>20600.393700787401</v>
      </c>
    </row>
    <row r="25" spans="2:3" x14ac:dyDescent="0.3">
      <c r="B25" s="79" t="s">
        <v>79</v>
      </c>
      <c r="C25" s="80">
        <v>25357.61154855643</v>
      </c>
    </row>
    <row r="26" spans="2:3" x14ac:dyDescent="0.3">
      <c r="B26" s="79" t="s">
        <v>80</v>
      </c>
      <c r="C26" s="80">
        <v>12549.212598425196</v>
      </c>
    </row>
    <row r="27" spans="2:3" x14ac:dyDescent="0.3">
      <c r="B27" s="79" t="s">
        <v>81</v>
      </c>
      <c r="C27" s="80">
        <v>12221.128608923884</v>
      </c>
    </row>
    <row r="28" spans="2:3" x14ac:dyDescent="0.3">
      <c r="B28" s="79" t="s">
        <v>82</v>
      </c>
      <c r="C28" s="80">
        <v>15587.270341207348</v>
      </c>
    </row>
    <row r="29" spans="2:3" x14ac:dyDescent="0.3">
      <c r="B29" s="79" t="s">
        <v>83</v>
      </c>
      <c r="C29" s="80">
        <v>20633.202099737533</v>
      </c>
    </row>
    <row r="30" spans="2:3" x14ac:dyDescent="0.3">
      <c r="B30" s="79" t="s">
        <v>84</v>
      </c>
      <c r="C30" s="80">
        <v>12519.685039370079</v>
      </c>
    </row>
    <row r="31" spans="2:3" x14ac:dyDescent="0.3">
      <c r="B31" s="79" t="s">
        <v>85</v>
      </c>
      <c r="C31" s="80">
        <v>24350.393700787401</v>
      </c>
    </row>
    <row r="32" spans="2:3" x14ac:dyDescent="0.3">
      <c r="B32" s="79" t="s">
        <v>86</v>
      </c>
      <c r="C32" s="80">
        <v>22345.800524934381</v>
      </c>
    </row>
    <row r="33" spans="2:3" x14ac:dyDescent="0.3">
      <c r="B33" s="79" t="s">
        <v>87</v>
      </c>
      <c r="C33" s="80">
        <v>12814.960629921259</v>
      </c>
    </row>
    <row r="34" spans="2:3" x14ac:dyDescent="0.3">
      <c r="B34" s="79" t="s">
        <v>88</v>
      </c>
      <c r="C34" s="80">
        <v>21870.078740157482</v>
      </c>
    </row>
    <row r="35" spans="2:3" x14ac:dyDescent="0.3">
      <c r="B35" s="79" t="s">
        <v>89</v>
      </c>
      <c r="C35" s="80">
        <v>12985.564304461943</v>
      </c>
    </row>
    <row r="36" spans="2:3" x14ac:dyDescent="0.3">
      <c r="B36" s="79" t="s">
        <v>90</v>
      </c>
      <c r="C36" s="80">
        <v>23162.72965879265</v>
      </c>
    </row>
    <row r="37" spans="2:3" x14ac:dyDescent="0.3">
      <c r="B37" s="79" t="s">
        <v>91</v>
      </c>
      <c r="C37" s="80">
        <v>24186.351706036745</v>
      </c>
    </row>
    <row r="38" spans="2:3" x14ac:dyDescent="0.3">
      <c r="B38" s="79" t="s">
        <v>92</v>
      </c>
      <c r="C38" s="80">
        <v>12985.564304461943</v>
      </c>
    </row>
    <row r="39" spans="2:3" x14ac:dyDescent="0.3">
      <c r="B39" s="79" t="s">
        <v>93</v>
      </c>
      <c r="C39" s="80">
        <v>28444.881889763779</v>
      </c>
    </row>
    <row r="40" spans="2:3" x14ac:dyDescent="0.3">
      <c r="B40" s="79" t="s">
        <v>94</v>
      </c>
      <c r="C40" s="80">
        <v>16866.797900262467</v>
      </c>
    </row>
    <row r="41" spans="2:3" x14ac:dyDescent="0.3">
      <c r="B41" s="79" t="s">
        <v>95</v>
      </c>
      <c r="C41" s="80">
        <v>25721.784776902885</v>
      </c>
    </row>
    <row r="42" spans="2:3" x14ac:dyDescent="0.3">
      <c r="B42" s="79" t="s">
        <v>96</v>
      </c>
      <c r="C42" s="80">
        <v>24947.506561679791</v>
      </c>
    </row>
    <row r="43" spans="2:3" x14ac:dyDescent="0.3">
      <c r="B43" s="79" t="s">
        <v>97</v>
      </c>
      <c r="C43" s="80">
        <v>17847.769028871389</v>
      </c>
    </row>
    <row r="44" spans="2:3" x14ac:dyDescent="0.3">
      <c r="B44" s="81" t="s">
        <v>98</v>
      </c>
      <c r="C44" s="80">
        <v>27906.824146981628</v>
      </c>
    </row>
    <row r="45" spans="2:3" x14ac:dyDescent="0.3">
      <c r="B45" s="79" t="s">
        <v>99</v>
      </c>
      <c r="C45" s="80">
        <v>12644.356955380577</v>
      </c>
    </row>
    <row r="46" spans="2:3" x14ac:dyDescent="0.3">
      <c r="B46" s="79" t="s">
        <v>100</v>
      </c>
      <c r="C46" s="80">
        <v>12818.241469816274</v>
      </c>
    </row>
    <row r="47" spans="2:3" x14ac:dyDescent="0.3">
      <c r="B47" s="79" t="s">
        <v>101</v>
      </c>
      <c r="C47" s="80">
        <v>20164.041994750656</v>
      </c>
    </row>
    <row r="48" spans="2:3" x14ac:dyDescent="0.3">
      <c r="B48" s="79" t="s">
        <v>102</v>
      </c>
      <c r="C48" s="80">
        <v>12221.128608923884</v>
      </c>
    </row>
    <row r="49" spans="2:3" x14ac:dyDescent="0.3">
      <c r="B49" s="79" t="s">
        <v>103</v>
      </c>
      <c r="C49" s="80">
        <v>15456.036745406826</v>
      </c>
    </row>
    <row r="50" spans="2:3" x14ac:dyDescent="0.3">
      <c r="B50" s="79" t="s">
        <v>104</v>
      </c>
      <c r="C50" s="80">
        <v>26998.031496062991</v>
      </c>
    </row>
    <row r="51" spans="2:3" x14ac:dyDescent="0.3">
      <c r="B51" s="79" t="s">
        <v>105</v>
      </c>
      <c r="C51" s="80">
        <v>15101.706036745407</v>
      </c>
    </row>
    <row r="52" spans="2:3" x14ac:dyDescent="0.3">
      <c r="B52" s="79" t="s">
        <v>106</v>
      </c>
      <c r="C52" s="80">
        <v>16640.419947506562</v>
      </c>
    </row>
    <row r="53" spans="2:3" x14ac:dyDescent="0.3">
      <c r="B53" s="79" t="s">
        <v>107</v>
      </c>
      <c r="C53" s="80">
        <v>27762.467191601052</v>
      </c>
    </row>
    <row r="54" spans="2:3" x14ac:dyDescent="0.3">
      <c r="B54" s="79" t="s">
        <v>108</v>
      </c>
      <c r="C54" s="80">
        <v>12985.564304461943</v>
      </c>
    </row>
    <row r="55" spans="2:3" x14ac:dyDescent="0.3">
      <c r="B55" s="79" t="s">
        <v>109</v>
      </c>
      <c r="C55" s="80">
        <v>10047.846889952154</v>
      </c>
    </row>
    <row r="56" spans="2:3" x14ac:dyDescent="0.3">
      <c r="B56" s="79" t="s">
        <v>110</v>
      </c>
      <c r="C56" s="80">
        <v>10047.846889952154</v>
      </c>
    </row>
    <row r="57" spans="2:3" x14ac:dyDescent="0.3">
      <c r="B57" s="79" t="s">
        <v>111</v>
      </c>
      <c r="C57" s="80">
        <v>22965.879265091862</v>
      </c>
    </row>
    <row r="58" spans="2:3" x14ac:dyDescent="0.3">
      <c r="B58" s="79" t="s">
        <v>112</v>
      </c>
      <c r="C58" s="80">
        <v>19225.721784776902</v>
      </c>
    </row>
    <row r="59" spans="2:3" x14ac:dyDescent="0.3">
      <c r="B59" s="79" t="s">
        <v>113</v>
      </c>
      <c r="C59" s="80">
        <v>21089.238845144358</v>
      </c>
    </row>
    <row r="60" spans="2:3" x14ac:dyDescent="0.3">
      <c r="B60" s="79" t="s">
        <v>114</v>
      </c>
      <c r="C60" s="80">
        <v>12795.27559055118</v>
      </c>
    </row>
    <row r="61" spans="2:3" x14ac:dyDescent="0.3">
      <c r="B61" s="79" t="s">
        <v>115</v>
      </c>
      <c r="C61" s="80">
        <v>34448.818897637793</v>
      </c>
    </row>
    <row r="62" spans="2:3" x14ac:dyDescent="0.3">
      <c r="B62" s="79" t="s">
        <v>116</v>
      </c>
      <c r="C62" s="80">
        <v>13733.595800524936</v>
      </c>
    </row>
    <row r="63" spans="2:3" x14ac:dyDescent="0.3">
      <c r="B63" s="79" t="s">
        <v>117</v>
      </c>
      <c r="C63" s="80">
        <v>12221.128608923884</v>
      </c>
    </row>
    <row r="64" spans="2:3" x14ac:dyDescent="0.3">
      <c r="B64" s="79" t="s">
        <v>118</v>
      </c>
      <c r="C64" s="80">
        <v>17923.228346456694</v>
      </c>
    </row>
    <row r="65" spans="2:3" x14ac:dyDescent="0.3">
      <c r="B65" s="79" t="s">
        <v>119</v>
      </c>
      <c r="C65" s="80">
        <v>14032.152230971127</v>
      </c>
    </row>
    <row r="66" spans="2:3" x14ac:dyDescent="0.3">
      <c r="B66" s="79" t="s">
        <v>120</v>
      </c>
      <c r="C66" s="80">
        <v>19819.553805774278</v>
      </c>
    </row>
    <row r="67" spans="2:3" x14ac:dyDescent="0.3">
      <c r="B67" s="79" t="s">
        <v>121</v>
      </c>
      <c r="C67" s="80">
        <v>27509.84251968504</v>
      </c>
    </row>
    <row r="68" spans="2:3" x14ac:dyDescent="0.3">
      <c r="B68" s="79" t="s">
        <v>122</v>
      </c>
      <c r="C68" s="80">
        <v>25800.5249343832</v>
      </c>
    </row>
    <row r="69" spans="2:3" x14ac:dyDescent="0.3">
      <c r="B69" s="79" t="s">
        <v>123</v>
      </c>
      <c r="C69" s="80">
        <v>25308.398950131232</v>
      </c>
    </row>
    <row r="70" spans="2:3" x14ac:dyDescent="0.3">
      <c r="B70" s="79" t="s">
        <v>124</v>
      </c>
      <c r="C70" s="80">
        <v>24261.811023622045</v>
      </c>
    </row>
    <row r="71" spans="2:3" x14ac:dyDescent="0.3">
      <c r="B71" s="79" t="s">
        <v>125</v>
      </c>
      <c r="C71" s="80">
        <v>21187.664041994751</v>
      </c>
    </row>
    <row r="72" spans="2:3" x14ac:dyDescent="0.3">
      <c r="B72" s="79" t="s">
        <v>126</v>
      </c>
      <c r="C72" s="80">
        <v>14783.464566929133</v>
      </c>
    </row>
    <row r="73" spans="2:3" x14ac:dyDescent="0.3">
      <c r="B73" s="79" t="s">
        <v>127</v>
      </c>
      <c r="C73" s="80">
        <v>12959.317585301837</v>
      </c>
    </row>
    <row r="74" spans="2:3" x14ac:dyDescent="0.3">
      <c r="B74" s="79" t="s">
        <v>128</v>
      </c>
      <c r="C74" s="80">
        <v>22280.18372703412</v>
      </c>
    </row>
    <row r="75" spans="2:3" x14ac:dyDescent="0.3">
      <c r="B75" s="79" t="s">
        <v>129</v>
      </c>
      <c r="C75" s="80">
        <v>15833.333333333332</v>
      </c>
    </row>
    <row r="76" spans="2:3" x14ac:dyDescent="0.3">
      <c r="B76" s="79" t="s">
        <v>130</v>
      </c>
      <c r="C76" s="80">
        <v>19685.039370078739</v>
      </c>
    </row>
    <row r="77" spans="2:3" x14ac:dyDescent="0.3">
      <c r="B77" s="79" t="s">
        <v>131</v>
      </c>
      <c r="C77" s="80">
        <v>13061.023622047243</v>
      </c>
    </row>
    <row r="78" spans="2:3" x14ac:dyDescent="0.3">
      <c r="B78" s="79" t="s">
        <v>132</v>
      </c>
      <c r="C78" s="80">
        <v>28608.923884514435</v>
      </c>
    </row>
    <row r="79" spans="2:3" ht="17.25" thickBot="1" x14ac:dyDescent="0.35">
      <c r="B79" s="82" t="s">
        <v>133</v>
      </c>
      <c r="C79" s="83">
        <v>12814.960629921259</v>
      </c>
    </row>
  </sheetData>
  <mergeCells count="2">
    <mergeCell ref="B2:B3"/>
    <mergeCell ref="C2:C3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11월 특근&amp;휴일</vt:lpstr>
      <vt:lpstr>시급</vt:lpstr>
      <vt:lpstr>'11월 특근&amp;휴일'!Print_Area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이보현</dc:creator>
  <cp:lastModifiedBy>shkang</cp:lastModifiedBy>
  <cp:lastPrinted>2025-09-16T02:49:47Z</cp:lastPrinted>
  <dcterms:created xsi:type="dcterms:W3CDTF">2019-01-03T09:20:51Z</dcterms:created>
  <dcterms:modified xsi:type="dcterms:W3CDTF">2026-01-07T04:59:52Z</dcterms:modified>
</cp:coreProperties>
</file>